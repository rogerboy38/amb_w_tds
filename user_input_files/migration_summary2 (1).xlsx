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gration_summary" sheetId="1" r:id="rId4"/>
    <sheet state="visible" name="Hoja 1" sheetId="2" r:id="rId5"/>
  </sheets>
  <definedNames>
    <definedName hidden="1" localSheetId="0" name="_xlnm._FilterDatabase">migration_summary!$A$1:$P$1263</definedName>
  </definedNames>
  <calcPr/>
  <extLst>
    <ext uri="GoogleSheetsCustomDataVersion2">
      <go:sheetsCustomData xmlns:go="http://customooxmlschemas.google.com/" r:id="rId6" roundtripDataChecksum="vtTWqnYnc/c0/0FpS8EX/JZsBSlrKRH3IXzJKROluK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954">
      <text>
        <t xml:space="preserve">======
ID#AAAByo4nE5c
rogelio_pedroza    (2026-01-16 18:16:02)
Email Order AMW240001LEU | Customer: UNION CHEMICAL IND CO LTD (Taiwan) | Date: 04-03-2024 | Product 2: Innovaloe Freeze Dried 200:1 | Qty: 5 KG | Unit: $178.34 | Total: $891.70 | PERFECT MATCH (This PDF has 2 products - see also row 953 for Spray Dried)</t>
      </text>
    </comment>
    <comment authorId="0" ref="O953">
      <text>
        <t xml:space="preserve">======
ID#AAAByo4nE5Y
rogelio_pedroza    (2026-01-16 18:14:43)
Email Order AMW240001LEU | Customer: UNION CHEMICAL IND CO LTD (Taiwan) | Date: 04-03-2024 | Product 1: Innovaloe Spray Dried 200:1 Organic | Qty: 5 KG | Unit: $162.34 | Total: $811.70 | PERFECT MATCH (This PDF has 2 products - see also row 1086 for Freeze Dried)</t>
      </text>
    </comment>
    <comment authorId="0" ref="O966">
      <text>
        <t xml:space="preserve">======
ID#AAAByo4nE5Q
rogelio_pedroza    (2026-01-16 18:05:44)
PO: 70350120 | Customer: BRENNTAG NORDIC DENMARK | Date: 10-09-2024 | Product: ALOE VERA GEL SPR.DR. PWD 0201/DR 10 FS | Qty: 40 KG | Unit: $140.94 | Total: $5,637.60 USD | MISMATCH: Sheet shows qty 25 @ $137.39 = $3,434.75</t>
      </text>
    </comment>
    <comment authorId="0" ref="O881">
      <text>
        <t xml:space="preserve">======
ID#AAAByo4nE3U
rogelio_pedroza    (2026-01-16 11:26:39)
PO: 519721 | Customer: LEGOSAN AB (Sweden) | Date: 07-12-2023 | Product: Aloe Vera 200:1 SD powder | Qty: 150 KG | Unit: $101.81 | Total: $15,271.50 USD | PERFECT MATCH</t>
      </text>
    </comment>
    <comment authorId="0" ref="O1136">
      <text>
        <t xml:space="preserve">======
ID#AAAByo4nE3Q
rogelio_pedroza    (2026-01-16 11:18:18)
PO: 258 | Customer: PARFUSALE AB | Delivery: RAPSODINE AB (Sverige) | Date: 05-27-2024 | Product: ALOE VERA GEL SPRAY 200:1 DRIED POWDER ORGANIC | Qty: 25 KG | Unit: $133.00 | Total: $3,325.00 | MISMATCH: Sheet shows qty 5 = $692.45</t>
      </text>
    </comment>
    <comment authorId="0" ref="O1125">
      <text>
        <t xml:space="preserve">======
ID#AAAByo4nE3M
rogelio_pedroza    (2026-01-16 11:15:53)
Email Order from VABO-N GmbH | Date: 12-03-2024 | Product: Acetypol 1015 Organic Aloe Vera gel Powder | Qty: 26 KG | Unit: $172.24 | Total: ~$4,477.24 | QTY MISMATCH: Sheet shows 24 kg = $4,133.76</t>
      </text>
    </comment>
    <comment authorId="0" ref="O1151">
      <text>
        <t xml:space="preserve">======
ID#AAAByo4nE3E
rogelio_pedroza    (2026-01-16 11:09:39)
PO: 2249500221-1 | Customer: BARENTZ GIDA VE KIMYA (Turkey) | Date: 26-02-2024 | Product: INNOVALOE ALOE VERA GEL CONCENTRATE 10:1 | Qty: 1980 KG | Unit: $6.30 | Total: $12,474.00 USD | MISMATCH: Sheet shows ALOE QX, qty 200, $23,946
------
ID#AAAByo4nE3I
rogelio_pedroza    (2026-01-16 11:12:27)
PDF2: PO 2249500586-1 | Date: 10-06-2024 | Same customer &amp; amount ($12,474.00)</t>
      </text>
    </comment>
    <comment authorId="0" ref="O1007">
      <text>
        <t xml:space="preserve">======
ID#AAAByo4nE3A
rogelio_pedroza    (2026-01-16 11:07:18)
PO: 224 | Customer: PARFUSALE AB (Sverige) | Date: 05-15-2024 | Product: ALOE VERA GEL SPRAY 200:1 DRIED POWDER ORGANIC | Qty: 10 KG | Unit: $135.47 | Total: $1,354.70 | PERFECT MATCH</t>
      </text>
    </comment>
    <comment authorId="0" ref="O938">
      <text>
        <t xml:space="preserve">======
ID#AAAByo4nE28
rogelio_pedroza    (2026-01-16 11:05:47)
PO: 22 | Customer: PARFUSALE AB (Sverige) | Date: 04-04-2024 | Product: ALOE VERA GEL SPRAY 200:1 DRIED POWDER ORG | Qty: 100 KG | Unit: $133.00 | Total: $13,300.00 | PERFECT MATCH</t>
      </text>
    </comment>
    <comment authorId="0" ref="O895">
      <text>
        <t xml:space="preserve">======
ID#AAAByo4nE24
rogelio_pedroza    (2026-01-16 11:03:47)
PO: 2410059 | Customer: GREENTECH | Date: 10/07/2024 | Product: ALOE VERA JUICE 1:1 AVG COSMOS | Qty: 18,000 KG | Unit: $1.20 | Total: $31,702.22 USD | PRODUCT MISMATCH: PDF is for JUICE, sheet shows ALOE OX 90%</t>
      </text>
    </comment>
    <comment authorId="0" ref="O975">
      <text>
        <t xml:space="preserve">======
ID#AAAByo4nE20
rogelio_pedroza    (2026-01-16 11:01:40)
PO: 2410030 | Customer: GREENTECH | Date: 10/03/2024 | Product: ALOEVERA200-ESB | Qty: 800 KG | Unit: $126.74 | Total: $101,392.00 | MISMATCH: Sheet shows 1800 qty @ $127.06 = $228,708.00</t>
      </text>
    </comment>
    <comment authorId="0" ref="O1014">
      <text>
        <t xml:space="preserve">======
ID#AAAByo4nE2w
rogelio_pedroza    (2026-01-16 10:59:41)
PO: 4500130573 | Customer: LAB MAGNACHEM INTERNATIONAL SRL | Date: 08/04/2024 | Product: ALOE VERA POLVO | Qty: 75 KG | Unit: $151.36 | Total: $11,352.00 | PERFECT MATCH</t>
      </text>
    </comment>
    <comment authorId="0" ref="O1096">
      <text>
        <t xml:space="preserve">======
ID#AAAByowZWOk
rogelio_pedroza    (2026-01-16 10:44:28)
PO: 209-15436 OP | Customer: CONNELL BROS (TAIWAN) | Date: 03/13/2024 | Product: AVG 200X ORGANIC | Qty: 10 KG | Unit: $140.63 | Total: $1,406.30 | PERFECT MATCH</t>
      </text>
    </comment>
    <comment authorId="0" ref="O890">
      <text>
        <t xml:space="preserve">======
ID#AAAByowZWOg
rogelio_pedroza    (2026-01-16 10:35:57)
PDF: UK-PO-000671, Barentz UK Ltd, 10-10-2024, Qty: 200, $95.00, Total: $19,000.00 - PERFECT MATCH!</t>
      </text>
    </comment>
    <comment authorId="0" ref="O990">
      <text>
        <t xml:space="preserve">======
ID#AAAByowZWOc
rogelio_pedroza    (2026-01-16 10:33:01)
PDF: PO0076257, Tropic Skincare, 11-03-2024, Qty: 150, $125.00, Total: $18,750.00. NOTE: Amount mismatch - Sheet shows $30,712.00. Matched by customer name.</t>
      </text>
    </comment>
    <comment authorId="0" ref="O933">
      <text>
        <t xml:space="preserve">======
ID#AAAByowZWOY
rogelio_pedroza    (2026-01-16 10:31:06)
PDF: PO 2243500471, Barentz Italia, 24-04-2024, Qty: 50, $133.83, Total: $6,691.50 - PERFECT MATCH!</t>
      </text>
    </comment>
    <comment authorId="0" ref="O1153">
      <text>
        <t xml:space="preserve">======
ID#AAAByowZRhk
rogelio_pedroza    (2026-01-16 06:33:20)
PDF: PO 2243500460, Customer: Barentz Italia S.p.A., Date: 19-04-2024, Qty: 1000, Price: $115.00, Total: $115,000.00 - PERFECT MATCH!</t>
      </text>
    </comment>
    <comment authorId="0" ref="O1141">
      <text>
        <t xml:space="preserve">======
ID#AAAByowZRhg
rogelio_pedroza    (2026-01-16 06:31:51)
PDF: PO 42110, Customer: PGI Argentina (Berry), Date: 20-05-2024, Qty: 15, Price: $172.22, Total: $2,583.30 - PERFECT MATCH!</t>
      </text>
    </comment>
    <comment authorId="0" ref="O1090">
      <text>
        <t xml:space="preserve">======
ID#AAAByowZRhc
rogelio_pedroza    (2026-01-16 06:30:19)
PDF: PO 10004698, Customer: VTG Specialty Chemicals S.A., Date: 07-05-2024, Qty: 20, Price: $126.88, Total: $2,537.60 - PERFECT MATCH!</t>
      </text>
    </comment>
    <comment authorId="0" ref="O962">
      <text>
        <t xml:space="preserve">======
ID#AAAByovkSv0
rogelio_pedroza    (2026-01-16 04:35:32)
PDF Data:
PO: 134714
Customer: Colorcon (US)
Date: 01-04-2024
Qty: 5, Unit Price: $134.35
Total: $671.75
PERFECT MATCH!</t>
      </text>
    </comment>
    <comment authorId="0" ref="O1103">
      <text>
        <t xml:space="preserve">======
ID#AAAByovkSvw
rogelio_pedroza    (2026-01-16 04:33:41)
PDF Data:
PO: 43258
Customer: FROSCO AB
Date: 07-08-2024
Qty: 15 KG, Unit Price: $129.85
Total: $1,947.75
PERFECT MATCH! All values match exactly.</t>
      </text>
    </comment>
    <comment authorId="0" ref="O891">
      <text>
        <t xml:space="preserve">======
ID#AAAByovkSvs
rogelio_pedroza    (2026-01-16 04:31:35)
PDF Data:
PO: 059497
Customer: LABORATOIRES DELON (1990) INC.
Date: 08-05-2024
Total: $2,773.20 (20 KG x $130 + $173.20 freight)
AMOUNT MATCHED EXACTLY!</t>
      </text>
    </comment>
    <comment authorId="0" ref="O913">
      <text>
        <t xml:space="preserve">======
ID#AAAByovkSvM
rogelio_pedroza    (2026-01-16 03:42:31)
PDF Data:
PO: 134702
Customer: AJEMEX
Date: 27-12-2023
Total: USD 11,225.32 (100 KG x $96.77)
NOTE: Amount mismatch - Spreadsheet shows $9,000.00, PDF shows $11,225.32. Matched by customer name only.
------
ID#AAAByovkSvQ
rogelio_pedroza    (2026-01-16 03:44:18)
2nd PDF Data:
PO: 135427
Customer: AJEMEX
Date: 06-03-2024
Total: USD 11,225.32 (100 KG x $96.77)
------
ID#AAAByovkSvU
rogelio_pedroza    (2026-01-16 03:46:01)
3rd PDF Data:
PO: 136195
Customer: AJEMEX
Date: 27-05-2024
Total: USD 22,450.64 (200 KG)
------
ID#AAAByovkSvY
rogelio_pedroza    (2026-01-16 03:47:44)
4th PDF Data:
PO: 136418
Customer: AJEMEX
Date: 18-06-2024
Total: USD 11,225.32 (100 KG)
------
ID#AAAByovkSvo
rogelio_pedroza    (2026-01-16 04:27:07)
5th PDF: PO 136571, Date: 03-07-2024, Total: USD 11,225.32</t>
      </text>
    </comment>
    <comment authorId="0" ref="O1084">
      <text>
        <t xml:space="preserve">======
ID#AAAByovkSvI
rogelio_pedroza    (2026-01-16 03:40:44)
PDF Data:
PO: 117826
Customer: Barentz Canada ULC
Date: 15-01-2024
Total: USD 6,032.50 (50 KG x $120.65)
NOTE: Amount mismatch - Spreadsheet shows $719.90, PDF shows $6,032.50. Matched by customer name only.</t>
      </text>
    </comment>
    <comment authorId="0" ref="O916">
      <text>
        <t xml:space="preserve">======
ID#AAAByovkSvE
rogelio_pedroza    (2026-01-16 03:37:15)
PDF Data:
PO: 11311
Customer: EL ALAMO EXPORT S.A.C.
Date: 31/05/2024
Total: $124,152.00 (1,200 KG x $103.46)
NOTE: Amount mismatch - Spreadsheet shows $258,650.00 (2500 units), PDF shows $124,152.00 (1200 KG). Matched by customer name only.</t>
      </text>
    </comment>
  </commentList>
  <extLst>
    <ext uri="GoogleSheetsCustomDataVersion2">
      <go:sheetsCustomData xmlns:go="http://customooxmlschemas.google.com/" r:id="rId1" roundtripDataSignature="AMtx7mhpWUl/IfRKNd+RJaiTPr8dPRB9fA=="/>
    </ext>
  </extLst>
</comments>
</file>

<file path=xl/sharedStrings.xml><?xml version="1.0" encoding="utf-8"?>
<sst xmlns="http://schemas.openxmlformats.org/spreadsheetml/2006/main" count="7719" uniqueCount="3335">
  <si>
    <t>migration_folio_136_COMPLETE.json</t>
  </si>
  <si>
    <t>LIZBETH RODRIGUEZ ESCAMILL</t>
  </si>
  <si>
    <t>F1584</t>
  </si>
  <si>
    <t>USD</t>
  </si>
  <si>
    <t>ITEM_0124019211</t>
  </si>
  <si>
    <t>ALOE VERA AVG 100X - Mezclado 10:90</t>
  </si>
  <si>
    <t>migration_folio_13_COMPLETE.json</t>
  </si>
  <si>
    <t>SOLUCIONES COSMETICAS S.A. DE C.V.</t>
  </si>
  <si>
    <t>F1468</t>
  </si>
  <si>
    <t>Innovaloe Aloe Vera Gel Spray Dried Powder 200:1</t>
  </si>
  <si>
    <t>migration_folio_16_COMPLETE.json</t>
  </si>
  <si>
    <t>REDA INDUSTRIAL MATERIALS FZE</t>
  </si>
  <si>
    <t>F1471</t>
  </si>
  <si>
    <t>migration_folio_20_COMPLETE.json</t>
  </si>
  <si>
    <t>EL ALAMO EXPORT S.A.C.</t>
  </si>
  <si>
    <t>F1475</t>
  </si>
  <si>
    <t>ALOE VERA AVG 200X = 100% S.T.</t>
  </si>
  <si>
    <t>migration_folio_23_COMPLETE.json</t>
  </si>
  <si>
    <t>EL ALAMO EXPORT SAC</t>
  </si>
  <si>
    <t>F1480</t>
  </si>
  <si>
    <t>migration_folio_269_COMPLETE.json</t>
  </si>
  <si>
    <t>F1743</t>
  </si>
  <si>
    <t>ITEM_0201009221</t>
  </si>
  <si>
    <t>migration_folio_274_COMPLETE.json</t>
  </si>
  <si>
    <t>F1751</t>
  </si>
  <si>
    <t>ITEM_0201015221</t>
  </si>
  <si>
    <t>migration_folio_283_COMPLETE.json</t>
  </si>
  <si>
    <t>BARENTZ Service S.p.A.</t>
  </si>
  <si>
    <t>F1755</t>
  </si>
  <si>
    <t>ITEM_0201022221</t>
  </si>
  <si>
    <t>migration_folio_37_COMPLETE.json</t>
  </si>
  <si>
    <t>NK CHEMICALS EUROPE LTD</t>
  </si>
  <si>
    <t>F1496</t>
  </si>
  <si>
    <t>migration_folio_39_COMPLETE.json</t>
  </si>
  <si>
    <t>F1498</t>
  </si>
  <si>
    <t>migration_folio_289_COMPLETE.json</t>
  </si>
  <si>
    <t>F1765</t>
  </si>
  <si>
    <t>ITEM_0201030221</t>
  </si>
  <si>
    <t>migration_folio_294_COMPLETE.json</t>
  </si>
  <si>
    <t>Calipso s.r.l</t>
  </si>
  <si>
    <t>F1768</t>
  </si>
  <si>
    <t>ITEM_0201031221</t>
  </si>
  <si>
    <t>migration_folio_106_COMPLETE.json</t>
  </si>
  <si>
    <t>BARENTZ CANADA</t>
  </si>
  <si>
    <t>F1579</t>
  </si>
  <si>
    <t>ITEM_0201033211</t>
  </si>
  <si>
    <t>migration_folio_152_COMPLETE.json</t>
  </si>
  <si>
    <t>DON PULCRO SA. DE CV.</t>
  </si>
  <si>
    <t>F1627</t>
  </si>
  <si>
    <t>migration_folio_76_COMPLETE.json</t>
  </si>
  <si>
    <t>CELLEX PHARM CO., LTD</t>
  </si>
  <si>
    <t>F1538</t>
  </si>
  <si>
    <t>migration_folio_70_COMPLETE.json</t>
  </si>
  <si>
    <t>F1531</t>
  </si>
  <si>
    <t>migration_folio_301_COMPLETE.json</t>
  </si>
  <si>
    <t>AJE MEX</t>
  </si>
  <si>
    <t>F1777</t>
  </si>
  <si>
    <t>ITEM_0201040221</t>
  </si>
  <si>
    <t>migration_folio_633_COMPLETE.json</t>
  </si>
  <si>
    <t>AJEMEX /PLANTA PUEBLA</t>
  </si>
  <si>
    <t>None</t>
  </si>
  <si>
    <t>migration_folio_651_COMPLETE.json</t>
  </si>
  <si>
    <t>F1786</t>
  </si>
  <si>
    <t>migration_folio_72_COMPLETE.json</t>
  </si>
  <si>
    <t>F1533</t>
  </si>
  <si>
    <t>migration_folio_145_COMPLETE.json</t>
  </si>
  <si>
    <t>F1615</t>
  </si>
  <si>
    <t>ITEM_0201042211</t>
  </si>
  <si>
    <t>migration_folio_308_COMPLETE.json</t>
  </si>
  <si>
    <t>F1782</t>
  </si>
  <si>
    <t>ITEM_0201044221</t>
  </si>
  <si>
    <t>migration_folio_311_COMPLETE.json</t>
  </si>
  <si>
    <t>F1785</t>
  </si>
  <si>
    <t>ITEM_0201045221</t>
  </si>
  <si>
    <t>migration_folio_331_COMPLETE.json</t>
  </si>
  <si>
    <t>F1799</t>
  </si>
  <si>
    <t>ITEM_0201046221</t>
  </si>
  <si>
    <t>migration_folio_649_COMPLETE.json</t>
  </si>
  <si>
    <t>F1852</t>
  </si>
  <si>
    <t>migration_folio_312_COMPLETE.json</t>
  </si>
  <si>
    <t>INDUKERN S.A.</t>
  </si>
  <si>
    <t>F1787</t>
  </si>
  <si>
    <t>ITEM_0201047221</t>
  </si>
  <si>
    <t>migration_folio_325_COMPLETE.json</t>
  </si>
  <si>
    <t>BINDER INTERNATIONAL GMBH &amp; CO.</t>
  </si>
  <si>
    <t>F1802</t>
  </si>
  <si>
    <t>EUROS</t>
  </si>
  <si>
    <t>ITEM_0201048221</t>
  </si>
  <si>
    <t>migration_folio_82_COMPLETE.json</t>
  </si>
  <si>
    <t>F1545</t>
  </si>
  <si>
    <t>migration_folio_86_COMPLETE.json</t>
  </si>
  <si>
    <t>F1549</t>
  </si>
  <si>
    <t>migration_folio_318_COMPLETE.json</t>
  </si>
  <si>
    <t>F1792</t>
  </si>
  <si>
    <t>ITEM_0201051221</t>
  </si>
  <si>
    <t>migration_folio_326_COMPLETE.json</t>
  </si>
  <si>
    <t>F1803</t>
  </si>
  <si>
    <t>ITEM_0201057221</t>
  </si>
  <si>
    <t>migration_folio_135_COMPLETE.json</t>
  </si>
  <si>
    <t>ABSARA COSMETICS</t>
  </si>
  <si>
    <t>F1574</t>
  </si>
  <si>
    <t>ITEM_0201058211</t>
  </si>
  <si>
    <t>migration_folio_650_COMPLETE.json</t>
  </si>
  <si>
    <t>ABSARA</t>
  </si>
  <si>
    <t>F1805</t>
  </si>
  <si>
    <t>ITEM_0201058221</t>
  </si>
  <si>
    <t>migration_folio_328_COMPLETE.json</t>
  </si>
  <si>
    <t>BRENNTAG INGREDIENTS PHILIPPINES</t>
  </si>
  <si>
    <t>F1806</t>
  </si>
  <si>
    <t>ITEM_0201059221</t>
  </si>
  <si>
    <t>migration_folio_330_COMPLETE.json</t>
  </si>
  <si>
    <t>ADM Animal Nutrition</t>
  </si>
  <si>
    <t>F1808</t>
  </si>
  <si>
    <t>ITEM_0201060221</t>
  </si>
  <si>
    <t>migration_folio_264_COMPLETE.json</t>
  </si>
  <si>
    <t>F1736</t>
  </si>
  <si>
    <t>ITEM_0201067211</t>
  </si>
  <si>
    <t>migration_folio_199_COMPLETE.json</t>
  </si>
  <si>
    <t>SAN AB</t>
  </si>
  <si>
    <t>F1677</t>
  </si>
  <si>
    <t>ITEM_0201069211</t>
  </si>
  <si>
    <t>migration_folio_201_COMPLETE.json</t>
  </si>
  <si>
    <t>BRENNTAG TAIWAN CO., LTD.</t>
  </si>
  <si>
    <t>F1679</t>
  </si>
  <si>
    <t>ALOE VERA AVG 200X Organico</t>
  </si>
  <si>
    <t>migration_folio_205_COMPLETE.json</t>
  </si>
  <si>
    <t>UNION CHEMICAL IND. CO., LTD.</t>
  </si>
  <si>
    <t>F1685</t>
  </si>
  <si>
    <t>migration_folio_209_COMPLETE.json</t>
  </si>
  <si>
    <t>FRUTA FIEL S.A.</t>
  </si>
  <si>
    <t>F1690</t>
  </si>
  <si>
    <t>migration_folio_214_COMPLETE.json</t>
  </si>
  <si>
    <t>Brenntag México, S. A. de C. V.</t>
  </si>
  <si>
    <t>F1695</t>
  </si>
  <si>
    <t>migration_folio_340_COMPLETE.json</t>
  </si>
  <si>
    <t>BRENNTAG NORDIC A/S</t>
  </si>
  <si>
    <t>F1818</t>
  </si>
  <si>
    <t>ITEM_0201069221</t>
  </si>
  <si>
    <t>migration_folio_360_COMPLETE.json</t>
  </si>
  <si>
    <t>PHARMATECH</t>
  </si>
  <si>
    <t>F1821</t>
  </si>
  <si>
    <t>ITEM_0201070221</t>
  </si>
  <si>
    <t>migration_folio_100_COMPLETE.json</t>
  </si>
  <si>
    <t>Genomma Lab Mexico, S.A. de C.V.</t>
  </si>
  <si>
    <t>F1569</t>
  </si>
  <si>
    <t>ITEM_0201071211</t>
  </si>
  <si>
    <t>migration_folio_137_COMPLETE.json</t>
  </si>
  <si>
    <t>F1585</t>
  </si>
  <si>
    <t>migration_folio_125_COMPLETE.json</t>
  </si>
  <si>
    <t>F1603</t>
  </si>
  <si>
    <t>ITEM_0201074211</t>
  </si>
  <si>
    <t>migration_folio_344_COMPLETE.json</t>
  </si>
  <si>
    <t>F1824</t>
  </si>
  <si>
    <t>ITEM_0201074221</t>
  </si>
  <si>
    <t>migration_folio_112_COMPLETE.json</t>
  </si>
  <si>
    <t>F1587</t>
  </si>
  <si>
    <t>ITEM_0201079211</t>
  </si>
  <si>
    <t>migration_folio_361_COMPLETE.json</t>
  </si>
  <si>
    <t>F1842</t>
  </si>
  <si>
    <t>ITEM_0201085221</t>
  </si>
  <si>
    <t>migration_folio_141_COMPLETE.json</t>
  </si>
  <si>
    <t>BRENNTAG INGREDIENTS INC</t>
  </si>
  <si>
    <t>F1611</t>
  </si>
  <si>
    <t>ITEM_0201086211</t>
  </si>
  <si>
    <t>migration_folio_148_COMPLETE.json</t>
  </si>
  <si>
    <t>REDA INDUSTRIAL MATERIALS</t>
  </si>
  <si>
    <t>F1618</t>
  </si>
  <si>
    <t>ITEM_0201092211</t>
  </si>
  <si>
    <t>migration_folio_150_COMPLETE.json</t>
  </si>
  <si>
    <t>CHARKIT CHEMICAL CORP, INC.</t>
  </si>
  <si>
    <t>F1620</t>
  </si>
  <si>
    <t>ITEM_0201094211</t>
  </si>
  <si>
    <t>migration_folio_380_COMPLETE.json</t>
  </si>
  <si>
    <t>Barentz UK Limited</t>
  </si>
  <si>
    <t>F1862</t>
  </si>
  <si>
    <t>ITEM_0201095221</t>
  </si>
  <si>
    <t>migration_folio_392_COMPLETE.json</t>
  </si>
  <si>
    <t>F1875</t>
  </si>
  <si>
    <t>ITEM_0201109221</t>
  </si>
  <si>
    <t>AVG 200X = 100% S.T.</t>
  </si>
  <si>
    <t>migration_folio_412_COMPLETE.json</t>
  </si>
  <si>
    <t>F1897</t>
  </si>
  <si>
    <t>migration_folio_416_COMPLETE.json</t>
  </si>
  <si>
    <t>F1899</t>
  </si>
  <si>
    <t>ITEM_0201123221</t>
  </si>
  <si>
    <t>migration_folio_444_COMPLETE.json</t>
  </si>
  <si>
    <t>F1929</t>
  </si>
  <si>
    <t>migration_folio_445_COMPLETE.json</t>
  </si>
  <si>
    <t>F1930</t>
  </si>
  <si>
    <t>migration_folio_273_COMPLETE.json</t>
  </si>
  <si>
    <t>BRENNTAG MEXICO SA DE CV (SAN MARTÍN OBISPO)</t>
  </si>
  <si>
    <t>F1666</t>
  </si>
  <si>
    <t>ITEM_0201126211</t>
  </si>
  <si>
    <t>migration_folio_426_COMPLETE.json</t>
  </si>
  <si>
    <t>COMDRUSO</t>
  </si>
  <si>
    <t>F1910</t>
  </si>
  <si>
    <t>ITEM_0201130221</t>
  </si>
  <si>
    <t>migration_folio_431_COMPLETE.json</t>
  </si>
  <si>
    <t>F1916</t>
  </si>
  <si>
    <t>migration_folio_208_COMPLETE.json</t>
  </si>
  <si>
    <t>VITA Co. Ltd.</t>
  </si>
  <si>
    <t>F1688</t>
  </si>
  <si>
    <t>ITEM_0201133211</t>
  </si>
  <si>
    <t>migration_folio_484_COMPLETE.json</t>
  </si>
  <si>
    <t>F1971</t>
  </si>
  <si>
    <t>ITEM_0201137221</t>
  </si>
  <si>
    <t>migration_folio_457_COMPLETE.json</t>
  </si>
  <si>
    <t>F1943</t>
  </si>
  <si>
    <t>ITEM_0201141221</t>
  </si>
  <si>
    <t>migration_folio_458_COMPLETE.json</t>
  </si>
  <si>
    <t>F1944</t>
  </si>
  <si>
    <t>migration_folio_473_COMPLETE.json</t>
  </si>
  <si>
    <t>F1960</t>
  </si>
  <si>
    <t>migration_folio_451_COMPLETE.json</t>
  </si>
  <si>
    <t>F1940</t>
  </si>
  <si>
    <t>ITEM_0201143221</t>
  </si>
  <si>
    <t>migration_folio_461_COMPLETE.json</t>
  </si>
  <si>
    <t>F1947</t>
  </si>
  <si>
    <t>migration_folio_492_COMPLETE.json</t>
  </si>
  <si>
    <t>ALBAFLOR</t>
  </si>
  <si>
    <t>F1981</t>
  </si>
  <si>
    <t>ITEM_0201146221</t>
  </si>
  <si>
    <t>migration_folio_490_COMPLETE.json</t>
  </si>
  <si>
    <t>F1978</t>
  </si>
  <si>
    <t>ITEM_0201166221</t>
  </si>
  <si>
    <t>migration_folio_257_COMPLETE.json</t>
  </si>
  <si>
    <t>F1734</t>
  </si>
  <si>
    <t>ITEM_0201182211</t>
  </si>
  <si>
    <t>migration_folio_262_COMPLETE.json</t>
  </si>
  <si>
    <t>F1738</t>
  </si>
  <si>
    <t>ITEM_0201183211</t>
  </si>
  <si>
    <t>migration_folio_343_COMPLETE.json</t>
  </si>
  <si>
    <t>F1822</t>
  </si>
  <si>
    <t>ITEM_0203043221</t>
  </si>
  <si>
    <t>ALOE VERA AVG 20X = 10% ST</t>
  </si>
  <si>
    <t>migration_folio_187_COMPLETE.json</t>
  </si>
  <si>
    <t>F1664</t>
  </si>
  <si>
    <t>ITEM_0203093211</t>
  </si>
  <si>
    <t>migration_folio_483_COMPLETE.json</t>
  </si>
  <si>
    <t>F1970</t>
  </si>
  <si>
    <t>ITEM_0203153221</t>
  </si>
  <si>
    <t>migration_folio_515_COMPLETE.json</t>
  </si>
  <si>
    <t>F2006</t>
  </si>
  <si>
    <t>ITEM_0204005231</t>
  </si>
  <si>
    <t>ALOE VERA AVG 10X = 5% ST</t>
  </si>
  <si>
    <t>migration_folio_29_COMPLETE.json</t>
  </si>
  <si>
    <t>BARENTZ SERVICE S.P.A</t>
  </si>
  <si>
    <t>F1487</t>
  </si>
  <si>
    <t>migration_folio_55_COMPLETE.json</t>
  </si>
  <si>
    <t>BARENTZ SERVICE S.P.A.</t>
  </si>
  <si>
    <t>F1516</t>
  </si>
  <si>
    <t>migration_folio_49_COMPLETE.json</t>
  </si>
  <si>
    <t>F1508</t>
  </si>
  <si>
    <t>Innovaloe Aloe Vera Gel Concentrate 10:1</t>
  </si>
  <si>
    <t>migration_folio_73_COMPLETE.json</t>
  </si>
  <si>
    <t>TROPIC SKINCARE LTD</t>
  </si>
  <si>
    <t>F1534</t>
  </si>
  <si>
    <t>migration_folio_103_COMPLETE.json</t>
  </si>
  <si>
    <t>F1572</t>
  </si>
  <si>
    <t>ITEM_0204048211</t>
  </si>
  <si>
    <t>migration_folio_88_COMPLETE.json</t>
  </si>
  <si>
    <t>F1551</t>
  </si>
  <si>
    <t>migration_folio_115_COMPLETE.json</t>
  </si>
  <si>
    <t>F1589</t>
  </si>
  <si>
    <t>ITEM_0204072211</t>
  </si>
  <si>
    <t>migration_folio_129_COMPLETE.json</t>
  </si>
  <si>
    <t>F1607</t>
  </si>
  <si>
    <t>ITEM_0204078211</t>
  </si>
  <si>
    <t>migration_folio_172_COMPLETE.json</t>
  </si>
  <si>
    <t>F1648</t>
  </si>
  <si>
    <t>ITEM_0204083211</t>
  </si>
  <si>
    <t>migration_folio_169_COMPLETE.json</t>
  </si>
  <si>
    <t>F1644</t>
  </si>
  <si>
    <t>ITEM_0204087211</t>
  </si>
  <si>
    <t>migration_folio_234_COMPLETE.json</t>
  </si>
  <si>
    <t>F1714</t>
  </si>
  <si>
    <t>ITEM_0204153211</t>
  </si>
  <si>
    <t>migration_folio_236_COMPLETE.json</t>
  </si>
  <si>
    <t>F1716</t>
  </si>
  <si>
    <t>migration_folio_15_COMPLETE.json</t>
  </si>
  <si>
    <t>F1470</t>
  </si>
  <si>
    <t>migration_folio_239_COMPLETE.json</t>
  </si>
  <si>
    <t>VTG SPECIALTY CHECMICAL S.A.</t>
  </si>
  <si>
    <t>F1719</t>
  </si>
  <si>
    <t>ITEM_0204156211</t>
  </si>
  <si>
    <t>migration_folio_539_COMPLETE.json</t>
  </si>
  <si>
    <t>BARENTZ GIDA VE KIMYA TIC LTD STI</t>
  </si>
  <si>
    <t>F2038</t>
  </si>
  <si>
    <t>ITEM_0205039231</t>
  </si>
  <si>
    <t>ALOE VERA AVG 1X = 0.5% ST</t>
  </si>
  <si>
    <t>migration_folio_550_COMPLETE.json</t>
  </si>
  <si>
    <t>F2046</t>
  </si>
  <si>
    <t>migration_folio_532_COMPLETE.json</t>
  </si>
  <si>
    <t>F2029</t>
  </si>
  <si>
    <t>ITEM_0205042231</t>
  </si>
  <si>
    <t>migration_folio_608_COMPLETE.json</t>
  </si>
  <si>
    <t>F2027</t>
  </si>
  <si>
    <t>migration_folio_609_COMPLETE.json</t>
  </si>
  <si>
    <t>F2030</t>
  </si>
  <si>
    <t>migration_folio_610_COMPLETE.json</t>
  </si>
  <si>
    <t>F2031</t>
  </si>
  <si>
    <t>migration_folio_95_COMPLETE.json</t>
  </si>
  <si>
    <t>F1560</t>
  </si>
  <si>
    <t>migration_folio_556_COMPLETE.json</t>
  </si>
  <si>
    <t>F2050</t>
  </si>
  <si>
    <t>ITEM_0205051231</t>
  </si>
  <si>
    <t>migration_folio_621_COMPLETE.json</t>
  </si>
  <si>
    <t>F2084</t>
  </si>
  <si>
    <t>migration_folio_354_COMPLETE.json</t>
  </si>
  <si>
    <t>F1823</t>
  </si>
  <si>
    <t>ITEM_0205067221</t>
  </si>
  <si>
    <t>migration_folio_400_COMPLETE.json</t>
  </si>
  <si>
    <t>F1879</t>
  </si>
  <si>
    <t>ITEM_0205103221</t>
  </si>
  <si>
    <t>migration_folio_424_COMPLETE.json</t>
  </si>
  <si>
    <t>F1904</t>
  </si>
  <si>
    <t>ITEM_0205124221</t>
  </si>
  <si>
    <t>migration_folio_259_COMPLETE.json</t>
  </si>
  <si>
    <t>ITEM_0205161211</t>
  </si>
  <si>
    <t>ITEM_0205162211</t>
  </si>
  <si>
    <t>migration_folio_22_COMPLETE.json</t>
  </si>
  <si>
    <t>KDC/ONE Cosmetic Labs of America</t>
  </si>
  <si>
    <t>F1479</t>
  </si>
  <si>
    <t>ALOE VERA AVG 100X - Mezclado 15:85</t>
  </si>
  <si>
    <t>migration_folio_276_COMPLETE.json</t>
  </si>
  <si>
    <t>kdc one CLA</t>
  </si>
  <si>
    <t>F1753</t>
  </si>
  <si>
    <t>ITEM_0206013221</t>
  </si>
  <si>
    <t>migration_folio_350_COMPLETE.json</t>
  </si>
  <si>
    <t>F1830</t>
  </si>
  <si>
    <t>ITEM_0206075221</t>
  </si>
  <si>
    <t>migration_folio_351_COMPLETE.json</t>
  </si>
  <si>
    <t>F1831</t>
  </si>
  <si>
    <t>migration_folio_127_COMPLETE.json</t>
  </si>
  <si>
    <t>F1605</t>
  </si>
  <si>
    <t>ITEM_0206082211</t>
  </si>
  <si>
    <t>migration_folio_404_COMPLETE.json</t>
  </si>
  <si>
    <t>F1890</t>
  </si>
  <si>
    <t>ITEM_0206104221</t>
  </si>
  <si>
    <t>migration_folio_422_COMPLETE.json</t>
  </si>
  <si>
    <t>F1906</t>
  </si>
  <si>
    <t>ITEM_0206118221</t>
  </si>
  <si>
    <t>migration_folio_433_COMPLETE.json</t>
  </si>
  <si>
    <t>KDC ONE NY</t>
  </si>
  <si>
    <t>F1917</t>
  </si>
  <si>
    <t>migration_folio_602_COMPLETE.json</t>
  </si>
  <si>
    <t>ABASTECEDORA QUIMICA HASEN</t>
  </si>
  <si>
    <t>F2000</t>
  </si>
  <si>
    <t>ITEM_0214006231</t>
  </si>
  <si>
    <t>migration_folio_43_COMPLETE.json</t>
  </si>
  <si>
    <t>WOONGJIN FOODS CO,LTD.</t>
  </si>
  <si>
    <t>F1502</t>
  </si>
  <si>
    <t>INNOVALOE ALOE VERA GEL SPRAY DRIED POWDER 100:1</t>
  </si>
  <si>
    <t>migration_folio_93_COMPLETE.json</t>
  </si>
  <si>
    <t>F1557</t>
  </si>
  <si>
    <t>migration_folio_128_COMPLETE.json</t>
  </si>
  <si>
    <t>F1606</t>
  </si>
  <si>
    <t>ITEM_0214019211</t>
  </si>
  <si>
    <t>migration_folio_303_COMPLETE.json</t>
  </si>
  <si>
    <t>F1776</t>
  </si>
  <si>
    <t>ITEM_0214019221</t>
  </si>
  <si>
    <t>migration_folio_123_COMPLETE.json</t>
  </si>
  <si>
    <t>AZELIS ISRAEL DISTRIBUTION LTD</t>
  </si>
  <si>
    <t>F1601</t>
  </si>
  <si>
    <t>ITEM_0214080211</t>
  </si>
  <si>
    <t>Innovaloe Aloe Vera Gel Spray Dried Powder 100:1</t>
  </si>
  <si>
    <t>migration_folio_368_COMPLETE.json</t>
  </si>
  <si>
    <t>F1850</t>
  </si>
  <si>
    <t>ITEM_0214080221</t>
  </si>
  <si>
    <t>migration_folio_384_COMPLETE.json</t>
  </si>
  <si>
    <t>F1867</t>
  </si>
  <si>
    <t>migration_folio_160_COMPLETE.json</t>
  </si>
  <si>
    <t>F1636</t>
  </si>
  <si>
    <t>ITEM_0214091211</t>
  </si>
  <si>
    <t>migration_folio_196_COMPLETE.json</t>
  </si>
  <si>
    <t>F1674</t>
  </si>
  <si>
    <t>migration_folio_284_COMPLETE.json</t>
  </si>
  <si>
    <t>F1760</t>
  </si>
  <si>
    <t>migration_folio_165_COMPLETE.json</t>
  </si>
  <si>
    <t>F1642</t>
  </si>
  <si>
    <t>ITEM_0214095211</t>
  </si>
  <si>
    <t>migration_folio_403_COMPLETE.json</t>
  </si>
  <si>
    <t>F1889</t>
  </si>
  <si>
    <t>ITEM_0214120221</t>
  </si>
  <si>
    <t>migration_folio_481_COMPLETE.json</t>
  </si>
  <si>
    <t>F1968</t>
  </si>
  <si>
    <t>ITEM_0214126221</t>
  </si>
  <si>
    <t>migration_folio_446_COMPLETE.json</t>
  </si>
  <si>
    <t>F1932</t>
  </si>
  <si>
    <t>ITEM_0214129221</t>
  </si>
  <si>
    <t>migration_folio_267_COMPLETE.json</t>
  </si>
  <si>
    <t>F1742</t>
  </si>
  <si>
    <t>ITEM_0214163211</t>
  </si>
  <si>
    <t>migration_folio_322_COMPLETE.json</t>
  </si>
  <si>
    <t>F1796</t>
  </si>
  <si>
    <t>migration_folio_329_COMPLETE.json</t>
  </si>
  <si>
    <t>VANTAGE SPECIALTY CHEMICALS S.A.</t>
  </si>
  <si>
    <t>F1807</t>
  </si>
  <si>
    <t>migration_folio_280_COMPLETE.json</t>
  </si>
  <si>
    <t>BIONIC TRADING CORPORATION</t>
  </si>
  <si>
    <t>F1754</t>
  </si>
  <si>
    <t>ITEM_0219004221</t>
  </si>
  <si>
    <t>migration_folio_309_COMPLETE.json</t>
  </si>
  <si>
    <t>F1784</t>
  </si>
  <si>
    <t>ITEM_0219005221</t>
  </si>
  <si>
    <t>migration_folio_310_COMPLETE.json</t>
  </si>
  <si>
    <t>F1780</t>
  </si>
  <si>
    <t>migration_folio_516_COMPLETE.json</t>
  </si>
  <si>
    <t>Evergreen Innovations</t>
  </si>
  <si>
    <t>F2008</t>
  </si>
  <si>
    <t>ITEM_0219009231</t>
  </si>
  <si>
    <t>migration_folio_67_COMPLETE.json</t>
  </si>
  <si>
    <t>Unique Products ApS</t>
  </si>
  <si>
    <t>F1528</t>
  </si>
  <si>
    <t>migration_folio_71_COMPLETE.json</t>
  </si>
  <si>
    <t>F1532</t>
  </si>
  <si>
    <t>INNOVALOE ALOE VERA GEL SPRAY DRIED POWDER 200:1 ORGANIC</t>
  </si>
  <si>
    <t>migration_folio_77_COMPLETE.json</t>
  </si>
  <si>
    <t>F1539</t>
  </si>
  <si>
    <t>migration_folio_80_COMPLETE.json</t>
  </si>
  <si>
    <t>F1542</t>
  </si>
  <si>
    <t>migration_folio_306_COMPLETE.json</t>
  </si>
  <si>
    <t>GREENTECH SA</t>
  </si>
  <si>
    <t>F1746</t>
  </si>
  <si>
    <t>ITEM_0219012221</t>
  </si>
  <si>
    <t>migration_folio_45_COMPLETE.json</t>
  </si>
  <si>
    <t>ALPHATECH SCIENCE (THAILAND) CO.,LTD.</t>
  </si>
  <si>
    <t>F1504</t>
  </si>
  <si>
    <t>migration_folio_287_COMPLETE.json</t>
  </si>
  <si>
    <t>F1763</t>
  </si>
  <si>
    <t>ITEM_0219024221</t>
  </si>
  <si>
    <t>migration_folio_347_COMPLETE.json</t>
  </si>
  <si>
    <t>DAEHAN CHEMTECH CO., LTD.</t>
  </si>
  <si>
    <t>F1827</t>
  </si>
  <si>
    <t>ITEM_0219025221</t>
  </si>
  <si>
    <t>migration_folio_634_COMPLETE.json</t>
  </si>
  <si>
    <t>F1800</t>
  </si>
  <si>
    <t>migration_folio_69_COMPLETE.json</t>
  </si>
  <si>
    <t>VABO N GMBH</t>
  </si>
  <si>
    <t>F1530</t>
  </si>
  <si>
    <t>ALOE ACETYPOL 15/20</t>
  </si>
  <si>
    <t>migration_folio_119_COMPLETE.json</t>
  </si>
  <si>
    <t>F1594</t>
  </si>
  <si>
    <t>ITEM_0219029211</t>
  </si>
  <si>
    <t>migration_folio_87_COMPLETE.json</t>
  </si>
  <si>
    <t>F1550</t>
  </si>
  <si>
    <t>migration_folio_90_COMPLETE.json</t>
  </si>
  <si>
    <t>F1554</t>
  </si>
  <si>
    <t>migration_folio_96_COMPLETE.json</t>
  </si>
  <si>
    <t>ALBAAD DEUTSCHLAND GMBH</t>
  </si>
  <si>
    <t>F1561</t>
  </si>
  <si>
    <t>migration_folio_98_COMPLETE.json</t>
  </si>
  <si>
    <t>MOJE ALOE</t>
  </si>
  <si>
    <t>F1567</t>
  </si>
  <si>
    <t>migration_folio_99_COMPLETE.json</t>
  </si>
  <si>
    <t>F1568</t>
  </si>
  <si>
    <t>migration_folio_101_COMPLETE.json</t>
  </si>
  <si>
    <t>PARFUSALE</t>
  </si>
  <si>
    <t>F1570</t>
  </si>
  <si>
    <t>ITEM_0219033211</t>
  </si>
  <si>
    <t>migration_folio_107_COMPLETE.json</t>
  </si>
  <si>
    <t>Parfusale AB</t>
  </si>
  <si>
    <t>F1580</t>
  </si>
  <si>
    <t>migration_folio_122_COMPLETE.json</t>
  </si>
  <si>
    <t>Pu Feng Biotech Co., Ltd</t>
  </si>
  <si>
    <t>F1600</t>
  </si>
  <si>
    <t>migration_folio_126_COMPLETE.json</t>
  </si>
  <si>
    <t>F1604</t>
  </si>
  <si>
    <t>migration_folio_133_COMPLETE.json</t>
  </si>
  <si>
    <t>EQUIMERCADO</t>
  </si>
  <si>
    <t>F1576</t>
  </si>
  <si>
    <t>migration_folio_134_COMPLETE.json</t>
  </si>
  <si>
    <t>LEGOSAN AB</t>
  </si>
  <si>
    <t>F1577</t>
  </si>
  <si>
    <t>migration_folio_139_COMPLETE.json</t>
  </si>
  <si>
    <t>Companhia Providência Indústria e Comércio a Berry Global</t>
  </si>
  <si>
    <t>F1609</t>
  </si>
  <si>
    <t>migration_folio_140_COMPLETE.json</t>
  </si>
  <si>
    <t>F1610</t>
  </si>
  <si>
    <t>migration_folio_192_COMPLETE.json</t>
  </si>
  <si>
    <t>F1669</t>
  </si>
  <si>
    <t>migration_folio_193_COMPLETE.json</t>
  </si>
  <si>
    <t>ALLCHEM</t>
  </si>
  <si>
    <t>F1671</t>
  </si>
  <si>
    <t>migration_folio_194_COMPLETE.json</t>
  </si>
  <si>
    <t>HSH Chemie SK s.r.o.</t>
  </si>
  <si>
    <t>F1672</t>
  </si>
  <si>
    <t>migration_folio_198_COMPLETE.json</t>
  </si>
  <si>
    <t>GUSTAVO RAFAEL VILLA CARRANDI</t>
  </si>
  <si>
    <t>F1676</t>
  </si>
  <si>
    <t>migration_folio_297_COMPLETE.json</t>
  </si>
  <si>
    <t>BARENTZ HELLAS</t>
  </si>
  <si>
    <t>F1773</t>
  </si>
  <si>
    <t>ITEM_0219034221</t>
  </si>
  <si>
    <t>migration_folio_104_COMPLETE.json</t>
  </si>
  <si>
    <t>F1573</t>
  </si>
  <si>
    <t>ITEM_0219045211</t>
  </si>
  <si>
    <t>migration_folio_118_COMPLETE.json</t>
  </si>
  <si>
    <t>F1592</t>
  </si>
  <si>
    <t>migration_folio_132_COMPLETE.json</t>
  </si>
  <si>
    <t>INFINITE CHOICE LDA</t>
  </si>
  <si>
    <t>F1575</t>
  </si>
  <si>
    <t>migration_folio_138_COMPLETE.json</t>
  </si>
  <si>
    <t>LORAND LABORATORIES LLC</t>
  </si>
  <si>
    <t>F1597</t>
  </si>
  <si>
    <t>migration_folio_174_COMPLETE.json</t>
  </si>
  <si>
    <t>F1652</t>
  </si>
  <si>
    <t>migration_folio_197_COMPLETE.json</t>
  </si>
  <si>
    <t>ALSOCHEM S.A.R.L</t>
  </si>
  <si>
    <t>F1675</t>
  </si>
  <si>
    <t>migration_folio_207_COMPLETE.json</t>
  </si>
  <si>
    <t>F1689</t>
  </si>
  <si>
    <t>migration_folio_304_COMPLETE.json</t>
  </si>
  <si>
    <t>BONLAM S.A. DE C.V.</t>
  </si>
  <si>
    <t>F1779</t>
  </si>
  <si>
    <t>migration_folio_315_COMPLETE.json</t>
  </si>
  <si>
    <t>F1783</t>
  </si>
  <si>
    <t>migration_folio_313_COMPLETE.json</t>
  </si>
  <si>
    <t>Connell Bros. (Taiwan), Ltd.</t>
  </si>
  <si>
    <t>F1788</t>
  </si>
  <si>
    <t>ITEM_0219049221</t>
  </si>
  <si>
    <t>migration_folio_323_COMPLETE.json</t>
  </si>
  <si>
    <t>F1797</t>
  </si>
  <si>
    <t>ITEM_0219050221</t>
  </si>
  <si>
    <t>migration_folio_336_COMPLETE.json</t>
  </si>
  <si>
    <t>F1814</t>
  </si>
  <si>
    <t>ITEM_0219052221</t>
  </si>
  <si>
    <t>migration_folio_342_COMPLETE.json</t>
  </si>
  <si>
    <t>F1820</t>
  </si>
  <si>
    <t>migration_folio_91_COMPLETE.json</t>
  </si>
  <si>
    <t>F1555</t>
  </si>
  <si>
    <t>ALOE ACETYPOL 20/25</t>
  </si>
  <si>
    <t>ITEM_0219053211</t>
  </si>
  <si>
    <t>migration_folio_120_COMPLETE.json</t>
  </si>
  <si>
    <t>F1595</t>
  </si>
  <si>
    <t>ITEM_0219054211</t>
  </si>
  <si>
    <t>migration_folio_142_COMPLETE.json</t>
  </si>
  <si>
    <t>F1612</t>
  </si>
  <si>
    <t>migration_folio_153_COMPLETE.json</t>
  </si>
  <si>
    <t>F1628</t>
  </si>
  <si>
    <t>migration_folio_154_COMPLETE.json</t>
  </si>
  <si>
    <t>F1630</t>
  </si>
  <si>
    <t>migration_folio_155_COMPLETE.json</t>
  </si>
  <si>
    <t>F1631</t>
  </si>
  <si>
    <t>migration_folio_159_COMPLETE.json</t>
  </si>
  <si>
    <t>F1635</t>
  </si>
  <si>
    <t>migration_folio_166_COMPLETE.json</t>
  </si>
  <si>
    <t>F1643</t>
  </si>
  <si>
    <t>migration_folio_170_COMPLETE.json</t>
  </si>
  <si>
    <t>F1645</t>
  </si>
  <si>
    <t>migration_folio_173_COMPLETE.json</t>
  </si>
  <si>
    <t>F1651</t>
  </si>
  <si>
    <t>migration_folio_175_COMPLETE.json</t>
  </si>
  <si>
    <t>BARENTZ B.V.</t>
  </si>
  <si>
    <t>F1654</t>
  </si>
  <si>
    <t>migration_folio_176_COMPLETE.json</t>
  </si>
  <si>
    <t>F1655</t>
  </si>
  <si>
    <t>migration_folio_177_COMPLETE.json</t>
  </si>
  <si>
    <t>F1656</t>
  </si>
  <si>
    <t>migration_folio_179_COMPLETE.json</t>
  </si>
  <si>
    <t>F1653</t>
  </si>
  <si>
    <t>migration_folio_182_COMPLETE.json</t>
  </si>
  <si>
    <t>F1659</t>
  </si>
  <si>
    <t>migration_folio_183_COMPLETE.json</t>
  </si>
  <si>
    <t>F1660</t>
  </si>
  <si>
    <t>migration_folio_184_COMPLETE.json</t>
  </si>
  <si>
    <t>REDACHEM TUNISIE SARL</t>
  </si>
  <si>
    <t>F1661</t>
  </si>
  <si>
    <t>migration_folio_188_COMPLETE.json</t>
  </si>
  <si>
    <t>SOMES</t>
  </si>
  <si>
    <t>F1665</t>
  </si>
  <si>
    <t>migration_folio_190_COMPLETE.json</t>
  </si>
  <si>
    <t>F1667</t>
  </si>
  <si>
    <t>migration_folio_191_COMPLETE.json</t>
  </si>
  <si>
    <t>F1668</t>
  </si>
  <si>
    <t>migration_folio_195_COMPLETE.json</t>
  </si>
  <si>
    <t>F1673</t>
  </si>
  <si>
    <t>migration_folio_204_COMPLETE.json</t>
  </si>
  <si>
    <t>F1683</t>
  </si>
  <si>
    <t>migration_folio_206_COMPLETE.json</t>
  </si>
  <si>
    <t>F1686</t>
  </si>
  <si>
    <t>migration_folio_324_COMPLETE.json</t>
  </si>
  <si>
    <t>LORAND LABORATORIES</t>
  </si>
  <si>
    <t>F1798</t>
  </si>
  <si>
    <t>ITEM_0219055221</t>
  </si>
  <si>
    <t>migration_folio_210_COMPLETE.json</t>
  </si>
  <si>
    <t>F1691</t>
  </si>
  <si>
    <t>ITEM_0219057211</t>
  </si>
  <si>
    <t>migration_folio_213_COMPLETE.json</t>
  </si>
  <si>
    <t>F1694</t>
  </si>
  <si>
    <t>migration_folio_215_COMPLETE.json</t>
  </si>
  <si>
    <t>F1696</t>
  </si>
  <si>
    <t>ITEM_0219062221</t>
  </si>
  <si>
    <t>migration_folio_348_COMPLETE.json</t>
  </si>
  <si>
    <t>F1829</t>
  </si>
  <si>
    <t>migration_folio_352_COMPLETE.json</t>
  </si>
  <si>
    <t>F1832</t>
  </si>
  <si>
    <t>migration_folio_355_COMPLETE.json</t>
  </si>
  <si>
    <t>F1833</t>
  </si>
  <si>
    <t>migration_folio_356_COMPLETE.json</t>
  </si>
  <si>
    <t>F1836</t>
  </si>
  <si>
    <t>migration_folio_358_COMPLETE.json</t>
  </si>
  <si>
    <t>F1840</t>
  </si>
  <si>
    <t>migration_folio_636_COMPLETE.json</t>
  </si>
  <si>
    <t>F1834</t>
  </si>
  <si>
    <t>migration_folio_637_COMPLETE.json</t>
  </si>
  <si>
    <t>F1835</t>
  </si>
  <si>
    <t>migration_folio_638_COMPLETE.json</t>
  </si>
  <si>
    <t>F1839</t>
  </si>
  <si>
    <t>ITEM_0219066211</t>
  </si>
  <si>
    <t>migration_folio_130_COMPLETE.json</t>
  </si>
  <si>
    <t>F1608</t>
  </si>
  <si>
    <t>migration_folio_144_COMPLETE.json</t>
  </si>
  <si>
    <t>F1614</t>
  </si>
  <si>
    <t>migration_folio_149_COMPLETE.json</t>
  </si>
  <si>
    <t>F1619</t>
  </si>
  <si>
    <t>migration_folio_157_COMPLETE.json</t>
  </si>
  <si>
    <t>F1633</t>
  </si>
  <si>
    <t>migration_folio_181_COMPLETE.json</t>
  </si>
  <si>
    <t>F1658</t>
  </si>
  <si>
    <t>migration_folio_1_COMPLETE_UPDATED.json</t>
  </si>
  <si>
    <t>F1454</t>
  </si>
  <si>
    <t>ITEM_0219071201</t>
  </si>
  <si>
    <t>INNOVALOE ALOE VERA GEL SPRAY DRIED POWDER 200:1</t>
  </si>
  <si>
    <t>migration_folio_1_COMPLETE.json</t>
  </si>
  <si>
    <t>migration_folio_18_COMPLETE.json</t>
  </si>
  <si>
    <t>F1473</t>
  </si>
  <si>
    <t>migration_folio_28_COMPLETE.json</t>
  </si>
  <si>
    <t>BRENNTAG MEXICO SA DE CV</t>
  </si>
  <si>
    <t>F1485</t>
  </si>
  <si>
    <t>migration_folio_36_COMPLETE.json</t>
  </si>
  <si>
    <t>BARENTZ FRANCE SARCEL</t>
  </si>
  <si>
    <t>F1495</t>
  </si>
  <si>
    <t>ALOE HIGHPOL 10/15</t>
  </si>
  <si>
    <t>migration_folio_46_COMPLETE.json</t>
  </si>
  <si>
    <t>F1505</t>
  </si>
  <si>
    <t>migration_folio_47_COMPLETE.json</t>
  </si>
  <si>
    <t>F1506</t>
  </si>
  <si>
    <t>migration_folio_62_COMPLETE.json</t>
  </si>
  <si>
    <t>F1523</t>
  </si>
  <si>
    <t>migration_folio_65_COMPLETE.json</t>
  </si>
  <si>
    <t>F1526</t>
  </si>
  <si>
    <t>migration_folio_78_COMPLETE.json</t>
  </si>
  <si>
    <t>F1540</t>
  </si>
  <si>
    <t>migration_folio_113_COMPLETE.json</t>
  </si>
  <si>
    <t>F1588</t>
  </si>
  <si>
    <t>ITEM_0219072201</t>
  </si>
  <si>
    <t>Innovaloe Aloe Vera Gel Freeze Dried Powder 200:1</t>
  </si>
  <si>
    <t>migration_folio_124_COMPLETE.json</t>
  </si>
  <si>
    <t>F1602</t>
  </si>
  <si>
    <t>migration_folio_164_COMPLETE.json</t>
  </si>
  <si>
    <t>F1640</t>
  </si>
  <si>
    <t>migration_folio_362_COMPLETE.json</t>
  </si>
  <si>
    <t>F1844</t>
  </si>
  <si>
    <t>ITEM_0219072221</t>
  </si>
  <si>
    <t>migration_folio_366_COMPLETE.json</t>
  </si>
  <si>
    <t>F1847</t>
  </si>
  <si>
    <t>migration_folio_373_COMPLETE.json</t>
  </si>
  <si>
    <t>F1855</t>
  </si>
  <si>
    <t>migration_folio_374_COMPLETE.json</t>
  </si>
  <si>
    <t>F1853</t>
  </si>
  <si>
    <t>migration_folio_375_COMPLETE.json</t>
  </si>
  <si>
    <t>F1854</t>
  </si>
  <si>
    <t>migration_folio_376_COMPLETE.json</t>
  </si>
  <si>
    <t>BARENTZ BALTIC</t>
  </si>
  <si>
    <t>F1856</t>
  </si>
  <si>
    <t>migration_folio_378_COMPLETE.json</t>
  </si>
  <si>
    <t>F1860</t>
  </si>
  <si>
    <t>migration_folio_379_COMPLETE.json</t>
  </si>
  <si>
    <t>F1861</t>
  </si>
  <si>
    <t>migration_folio_385_COMPLETE.json</t>
  </si>
  <si>
    <t>F1868</t>
  </si>
  <si>
    <t>migration_folio_387_COMPLETE.json</t>
  </si>
  <si>
    <t>F1870</t>
  </si>
  <si>
    <t>migration_folio_388_COMPLETE.json</t>
  </si>
  <si>
    <t>BARENTZ FRANCE SARL</t>
  </si>
  <si>
    <t>F1871</t>
  </si>
  <si>
    <t>migration_folio_389_COMPLETE.json</t>
  </si>
  <si>
    <t>F1873</t>
  </si>
  <si>
    <t>migration_folio_391_COMPLETE.json</t>
  </si>
  <si>
    <t>BARENTZ NORTH AMERICA LLC</t>
  </si>
  <si>
    <t>F1876</t>
  </si>
  <si>
    <t>migration_folio_393_COMPLETE.json</t>
  </si>
  <si>
    <t xml:space="preserve">LABORATORIO MAGNACHEM INTERNATIONAL, S.R.L.
</t>
  </si>
  <si>
    <t>F1878</t>
  </si>
  <si>
    <t>migration_folio_395_COMPLETE.json</t>
  </si>
  <si>
    <t>F1880</t>
  </si>
  <si>
    <t>migration_folio_396_COMPLETE.json</t>
  </si>
  <si>
    <t>F1872</t>
  </si>
  <si>
    <t>migration_folio_399_COMPLETE.json</t>
  </si>
  <si>
    <t>F1885</t>
  </si>
  <si>
    <t>migration_folio_401_COMPLETE.json</t>
  </si>
  <si>
    <t>F1887</t>
  </si>
  <si>
    <t>migration_folio_410_COMPLETE.json</t>
  </si>
  <si>
    <t>F1894</t>
  </si>
  <si>
    <t>migration_folio_413_COMPLETE.json</t>
  </si>
  <si>
    <t>F1886</t>
  </si>
  <si>
    <t>migration_folio_418_COMPLETE.json</t>
  </si>
  <si>
    <t>F1901</t>
  </si>
  <si>
    <t>migration_folio_419_COMPLETE.json</t>
  </si>
  <si>
    <t>F1902</t>
  </si>
  <si>
    <t>migration_folio_425_COMPLETE.json</t>
  </si>
  <si>
    <t>F1907</t>
  </si>
  <si>
    <t>migration_folio_428_COMPLETE.json</t>
  </si>
  <si>
    <t>F1912</t>
  </si>
  <si>
    <t>migration_folio_443_COMPLETE.json</t>
  </si>
  <si>
    <t>IMCD FRANCE</t>
  </si>
  <si>
    <t>F1928</t>
  </si>
  <si>
    <t>migration_folio_471_COMPLETE.json</t>
  </si>
  <si>
    <t>METECA MX</t>
  </si>
  <si>
    <t>F1958</t>
  </si>
  <si>
    <t>migration_folio_476_COMPLETE.json</t>
  </si>
  <si>
    <t>F1964</t>
  </si>
  <si>
    <t>migration_folio_520_COMPLETE.json</t>
  </si>
  <si>
    <t>F2019</t>
  </si>
  <si>
    <t>migration_folio_641_COMPLETE.json</t>
  </si>
  <si>
    <t>F1909</t>
  </si>
  <si>
    <t>migration_folio_643_COMPLETE.json</t>
  </si>
  <si>
    <t>F1956</t>
  </si>
  <si>
    <t>PESOS</t>
  </si>
  <si>
    <t>migration_folio_648_COMPLETE.json</t>
  </si>
  <si>
    <t>F1908</t>
  </si>
  <si>
    <t>migration_folio_349_COMPLETE.json</t>
  </si>
  <si>
    <t>F1828</t>
  </si>
  <si>
    <t>ITEM_0219073221</t>
  </si>
  <si>
    <t>migration_folio_110_COMPLETE.json</t>
  </si>
  <si>
    <t>F1583</t>
  </si>
  <si>
    <t>ITEM_0219076201</t>
  </si>
  <si>
    <t>migration_folio_353_COMPLETE.json</t>
  </si>
  <si>
    <t>F1838</t>
  </si>
  <si>
    <t>ITEM_0219076221</t>
  </si>
  <si>
    <t>migration_folio_363_COMPLETE.json</t>
  </si>
  <si>
    <t>F1843</t>
  </si>
  <si>
    <t>migration_folio_364_COMPLETE.json</t>
  </si>
  <si>
    <t>F1845</t>
  </si>
  <si>
    <t>migration_folio_365_COMPLETE.json</t>
  </si>
  <si>
    <t>F1846</t>
  </si>
  <si>
    <t>migration_folio_367_COMPLETE.json</t>
  </si>
  <si>
    <t>F1849</t>
  </si>
  <si>
    <t>migration_folio_369_COMPLETE.json</t>
  </si>
  <si>
    <t>F1851</t>
  </si>
  <si>
    <t>migration_folio_371_COMPLETE.json</t>
  </si>
  <si>
    <t>F1857</t>
  </si>
  <si>
    <t>migration_folio_372_COMPLETE.json</t>
  </si>
  <si>
    <t>F1858</t>
  </si>
  <si>
    <t>migration_folio_377_COMPLETE.json</t>
  </si>
  <si>
    <t>F1859</t>
  </si>
  <si>
    <t>migration_folio_381_COMPLETE.json</t>
  </si>
  <si>
    <t>VABO N</t>
  </si>
  <si>
    <t>F1863</t>
  </si>
  <si>
    <t>migration_folio_382_COMPLETE.json</t>
  </si>
  <si>
    <t>F1864</t>
  </si>
  <si>
    <t>migration_folio_383_COMPLETE.json</t>
  </si>
  <si>
    <t>F1866</t>
  </si>
  <si>
    <t>migration_folio_390_COMPLETE.json</t>
  </si>
  <si>
    <t>F1874</t>
  </si>
  <si>
    <t>migration_folio_405_COMPLETE.json</t>
  </si>
  <si>
    <t>F1882</t>
  </si>
  <si>
    <t>migration_folio_407_COMPLETE.json</t>
  </si>
  <si>
    <t>F1891</t>
  </si>
  <si>
    <t>migration_folio_408_COMPLETE.json</t>
  </si>
  <si>
    <t>F1892</t>
  </si>
  <si>
    <t>migration_folio_417_COMPLETE.json</t>
  </si>
  <si>
    <t>F1900</t>
  </si>
  <si>
    <t>migration_folio_427_COMPLETE.json</t>
  </si>
  <si>
    <t>F1911</t>
  </si>
  <si>
    <t>migration_folio_434_COMPLETE.json</t>
  </si>
  <si>
    <t>F1918</t>
  </si>
  <si>
    <t>migration_folio_469_COMPLETE.json</t>
  </si>
  <si>
    <t>Nature's Care</t>
  </si>
  <si>
    <t>F1955</t>
  </si>
  <si>
    <t>migration_folio_472_COMPLETE.json</t>
  </si>
  <si>
    <t>LABORATORIES DELON</t>
  </si>
  <si>
    <t>F1959</t>
  </si>
  <si>
    <t>migration_folio_477_COMPLETE.json</t>
  </si>
  <si>
    <t>F1963</t>
  </si>
  <si>
    <t>migration_folio_639_COMPLETE.json</t>
  </si>
  <si>
    <t>F1841</t>
  </si>
  <si>
    <t>migration_folio_81_COMPLETE.json</t>
  </si>
  <si>
    <t>F1544</t>
  </si>
  <si>
    <t>migration_folio_83_COMPLETE.json</t>
  </si>
  <si>
    <t>F1546</t>
  </si>
  <si>
    <t>migration_folio_92_COMPLETE.json</t>
  </si>
  <si>
    <t>F1556</t>
  </si>
  <si>
    <t>migration_folio_357_COMPLETE.json</t>
  </si>
  <si>
    <t>F1837</t>
  </si>
  <si>
    <t>ITEM_0219083221</t>
  </si>
  <si>
    <t>migration_folio_163_COMPLETE.json</t>
  </si>
  <si>
    <t>F1639</t>
  </si>
  <si>
    <t>ITEM_0219085211</t>
  </si>
  <si>
    <t>migration_folio_186_COMPLETE.json</t>
  </si>
  <si>
    <t>F1663</t>
  </si>
  <si>
    <t>migration_folio_212_COMPLETE.json</t>
  </si>
  <si>
    <t>F1693</t>
  </si>
  <si>
    <t>migration_folio_231_COMPLETE.json</t>
  </si>
  <si>
    <t>F1711</t>
  </si>
  <si>
    <t>migration_folio_370_COMPLETE.json</t>
  </si>
  <si>
    <t>FAGRON HELLAS</t>
  </si>
  <si>
    <t>F1848</t>
  </si>
  <si>
    <t>ITEM_0219087221</t>
  </si>
  <si>
    <t>migration_folio_386_COMPLETE.json</t>
  </si>
  <si>
    <t>F1869</t>
  </si>
  <si>
    <t>migration_folio_640_COMPLETE.json</t>
  </si>
  <si>
    <t>migration_folio_48_COMPLETE.json</t>
  </si>
  <si>
    <t>FROSCO AB</t>
  </si>
  <si>
    <t>F1507</t>
  </si>
  <si>
    <t>migration_folio_52_COMPLETE.json</t>
  </si>
  <si>
    <t>F1513</t>
  </si>
  <si>
    <t>migration_folio_53_COMPLETE.json</t>
  </si>
  <si>
    <t>IMCD FRANCE SAS</t>
  </si>
  <si>
    <t>F1514</t>
  </si>
  <si>
    <t>migration_folio_54_COMPLETE.json</t>
  </si>
  <si>
    <t>PU FENG BIOTECH CO., LTD</t>
  </si>
  <si>
    <t>F1515</t>
  </si>
  <si>
    <t>migration_folio_60_COMPLETE.json</t>
  </si>
  <si>
    <t>BRENNTAG PUERTO RICO, INC.</t>
  </si>
  <si>
    <t>F1521</t>
  </si>
  <si>
    <t>migration_folio_63_COMPLETE.json</t>
  </si>
  <si>
    <t>F1524</t>
  </si>
  <si>
    <t>migration_folio_66_COMPLETE.json</t>
  </si>
  <si>
    <t>MILORADA LTD</t>
  </si>
  <si>
    <t>F1527</t>
  </si>
  <si>
    <t>migration_folio_415_COMPLETE.json</t>
  </si>
  <si>
    <t>F1898</t>
  </si>
  <si>
    <t>ITEM_0219088221</t>
  </si>
  <si>
    <t>migration_folio_411_COMPLETE.json</t>
  </si>
  <si>
    <t>F1895</t>
  </si>
  <si>
    <t>ITEM_0219089221</t>
  </si>
  <si>
    <t>migration_folio_420_COMPLETE.json</t>
  </si>
  <si>
    <t>Cosmo Beauty Co., Ltd.</t>
  </si>
  <si>
    <t>F1903</t>
  </si>
  <si>
    <t>migration_folio_421_COMPLETE.json</t>
  </si>
  <si>
    <t>F1905</t>
  </si>
  <si>
    <t>migration_folio_430_COMPLETE.json</t>
  </si>
  <si>
    <t>F1915</t>
  </si>
  <si>
    <t>ITEM_0219090221</t>
  </si>
  <si>
    <t>migration_folio_439_COMPLETE.json</t>
  </si>
  <si>
    <t>F1925</t>
  </si>
  <si>
    <t>migration_folio_440_COMPLETE.json</t>
  </si>
  <si>
    <t>F1926</t>
  </si>
  <si>
    <t>migration_folio_441_COMPLETE.json</t>
  </si>
  <si>
    <t>F1927</t>
  </si>
  <si>
    <t>migration_folio_447_COMPLETE.json</t>
  </si>
  <si>
    <t>F1933</t>
  </si>
  <si>
    <t>migration_folio_448_COMPLETE.json</t>
  </si>
  <si>
    <t>F1934</t>
  </si>
  <si>
    <t>migration_folio_449_COMPLETE.json</t>
  </si>
  <si>
    <t>F1935</t>
  </si>
  <si>
    <t>migration_folio_450_COMPLETE.json</t>
  </si>
  <si>
    <t>F1936</t>
  </si>
  <si>
    <t>migration_folio_452_COMPLETE.json</t>
  </si>
  <si>
    <t>F1939</t>
  </si>
  <si>
    <t>migration_folio_453_COMPLETE.json</t>
  </si>
  <si>
    <t>F1941</t>
  </si>
  <si>
    <t>migration_folio_455_COMPLETE.json</t>
  </si>
  <si>
    <t>BLENDHUB</t>
  </si>
  <si>
    <t>F1938</t>
  </si>
  <si>
    <t>migration_folio_456_COMPLETE.json</t>
  </si>
  <si>
    <t>Don Pulcro S.A. de C.V.</t>
  </si>
  <si>
    <t>F1942</t>
  </si>
  <si>
    <t>migration_folio_459_COMPLETE.json</t>
  </si>
  <si>
    <t>F1945</t>
  </si>
  <si>
    <t>migration_folio_460_COMPLETE.json</t>
  </si>
  <si>
    <t>F1946</t>
  </si>
  <si>
    <t>migration_folio_462_COMPLETE.json</t>
  </si>
  <si>
    <t>BRENNTAG TAIWAN CO., LTD</t>
  </si>
  <si>
    <t>F1948</t>
  </si>
  <si>
    <t>migration_folio_464_COMPLETE.json</t>
  </si>
  <si>
    <t>F1950</t>
  </si>
  <si>
    <t>migration_folio_466_COMPLETE.json</t>
  </si>
  <si>
    <t>F1952</t>
  </si>
  <si>
    <t>migration_folio_468_COMPLETE.json</t>
  </si>
  <si>
    <t>Tropic Skincare Ltd</t>
  </si>
  <si>
    <t>F1954</t>
  </si>
  <si>
    <t>migration_folio_398_COMPLETE.json</t>
  </si>
  <si>
    <t>F1881</t>
  </si>
  <si>
    <t>ITEM_0219091221</t>
  </si>
  <si>
    <t>migration_folio_467_COMPLETE.json</t>
  </si>
  <si>
    <t>F1953</t>
  </si>
  <si>
    <t>migration_folio_474_COMPLETE.json</t>
  </si>
  <si>
    <t>F1962</t>
  </si>
  <si>
    <t>migration_folio_478_COMPLETE.json</t>
  </si>
  <si>
    <t>F1965</t>
  </si>
  <si>
    <t>migration_folio_480_COMPLETE.json</t>
  </si>
  <si>
    <t>F1967</t>
  </si>
  <si>
    <t>migration_folio_482_COMPLETE.json</t>
  </si>
  <si>
    <t>F1969</t>
  </si>
  <si>
    <t>migration_folio_647_COMPLETE.json</t>
  </si>
  <si>
    <t>F1931</t>
  </si>
  <si>
    <t>migration_folio_423_COMPLETE.json</t>
  </si>
  <si>
    <t>BRENNTAG AUSTRALIA PTY LTD</t>
  </si>
  <si>
    <t>F1865</t>
  </si>
  <si>
    <t>ITEM_0219093221</t>
  </si>
  <si>
    <t>ITEM_0219096221</t>
  </si>
  <si>
    <t>migration_folio_167_COMPLETE.json</t>
  </si>
  <si>
    <t>ITEM_0219100211</t>
  </si>
  <si>
    <t>ALOE VERA Aloe Vera 200X CONVENCIONAL + 200X RETENIDO 0272 (20-25% ACEMANNAN)</t>
  </si>
  <si>
    <t>migration_folio_178_COMPLETE.json</t>
  </si>
  <si>
    <t>migration_folio_217_COMPLETE.json</t>
  </si>
  <si>
    <t>F1698</t>
  </si>
  <si>
    <t>migration_folio_223_COMPLETE.json</t>
  </si>
  <si>
    <t>F1699</t>
  </si>
  <si>
    <t>migration_folio_2_COMPLETE.json</t>
  </si>
  <si>
    <t>F1455</t>
  </si>
  <si>
    <t>migration_folio_479_COMPLETE.json</t>
  </si>
  <si>
    <t>F1966</t>
  </si>
  <si>
    <t>ITEM_0219106221</t>
  </si>
  <si>
    <t>ITEM_0219107211</t>
  </si>
  <si>
    <t>migration_folio_185_COMPLETE.json</t>
  </si>
  <si>
    <t>F1662</t>
  </si>
  <si>
    <t>migration_folio_406_COMPLETE.json</t>
  </si>
  <si>
    <t>F1884</t>
  </si>
  <si>
    <t>ITEM_0219107221</t>
  </si>
  <si>
    <t>migration_folio_409_COMPLETE.json</t>
  </si>
  <si>
    <t>F1893</t>
  </si>
  <si>
    <t>ITEM_0219110221</t>
  </si>
  <si>
    <t>migration_folio_5_COMPLETE.json</t>
  </si>
  <si>
    <t>F1458</t>
  </si>
  <si>
    <t>migration_folio_6_COMPLETE.json</t>
  </si>
  <si>
    <t>F1460</t>
  </si>
  <si>
    <t>migration_folio_24_COMPLETE.json</t>
  </si>
  <si>
    <t>F1481</t>
  </si>
  <si>
    <t>migration_folio_35_COMPLETE.json</t>
  </si>
  <si>
    <t>F1493</t>
  </si>
  <si>
    <t>migration_folio_41_COMPLETE.json</t>
  </si>
  <si>
    <t>F1500</t>
  </si>
  <si>
    <t>migration_folio_64_COMPLETE.json</t>
  </si>
  <si>
    <t>F1525</t>
  </si>
  <si>
    <t>migration_folio_89_COMPLETE.json</t>
  </si>
  <si>
    <t>PGI ARGENTINA S.A.</t>
  </si>
  <si>
    <t>F1553</t>
  </si>
  <si>
    <t>migration_folio_3_COMPLETE.json</t>
  </si>
  <si>
    <t>BRENNTAG HONDURAS S.A.</t>
  </si>
  <si>
    <t>F1456</t>
  </si>
  <si>
    <t>migration_folio_4_COMPLETE.json</t>
  </si>
  <si>
    <t>F1457</t>
  </si>
  <si>
    <t>migration_folio_9_COMPLETE.json</t>
  </si>
  <si>
    <t>PGI ARGENTINA S.A</t>
  </si>
  <si>
    <t>F1464</t>
  </si>
  <si>
    <t>migration_folio_10_COMPLETE.json</t>
  </si>
  <si>
    <t>BARENTZ B.V</t>
  </si>
  <si>
    <t>F1465</t>
  </si>
  <si>
    <t>migration_folio_12_COMPLETE.json</t>
  </si>
  <si>
    <t>F1467</t>
  </si>
  <si>
    <t>ITEM_0219116201</t>
  </si>
  <si>
    <t>migration_folio_19_COMPLETE.json</t>
  </si>
  <si>
    <t>LIFESTYLE MEDICO PTE. LTD</t>
  </si>
  <si>
    <t>F1474</t>
  </si>
  <si>
    <t>ALOE HIGHPOL 35/40</t>
  </si>
  <si>
    <t>migration_folio_21_COMPLETE.json</t>
  </si>
  <si>
    <t>F1476</t>
  </si>
  <si>
    <t>migration_folio_25_COMPLETE.json</t>
  </si>
  <si>
    <t>PARFUSALE AB</t>
  </si>
  <si>
    <t>F1482</t>
  </si>
  <si>
    <t>migration_folio_27_COMPLETE.json</t>
  </si>
  <si>
    <t>F1484</t>
  </si>
  <si>
    <t>migration_folio_30_COMPLETE.json</t>
  </si>
  <si>
    <t>F1488</t>
  </si>
  <si>
    <t>ITEM_0219119211</t>
  </si>
  <si>
    <t>migration_folio_211_COMPLETE.json</t>
  </si>
  <si>
    <t>F1692</t>
  </si>
  <si>
    <t>ITEM_0219120211</t>
  </si>
  <si>
    <t>migration_folio_237_COMPLETE.json</t>
  </si>
  <si>
    <t>F1717</t>
  </si>
  <si>
    <t>migration_folio_240_COMPLETE.json</t>
  </si>
  <si>
    <t>F1720</t>
  </si>
  <si>
    <t>migration_folio_241_COMPLETE.json</t>
  </si>
  <si>
    <t>F1721</t>
  </si>
  <si>
    <t>migration_folio_56_COMPLETE.json</t>
  </si>
  <si>
    <t>F1517</t>
  </si>
  <si>
    <t>migration_folio_44_COMPLETE.json</t>
  </si>
  <si>
    <t>F1503</t>
  </si>
  <si>
    <t>migration_folio_109_COMPLETE.json</t>
  </si>
  <si>
    <t>N BIOTECH CO., LTD.</t>
  </si>
  <si>
    <t>F1582</t>
  </si>
  <si>
    <t>ITEM_0219122201</t>
  </si>
  <si>
    <t>ITEM_0219122211</t>
  </si>
  <si>
    <t>migration_folio_429_COMPLETE.json</t>
  </si>
  <si>
    <t>F1913</t>
  </si>
  <si>
    <t>ITEM_0219125221</t>
  </si>
  <si>
    <t>migration_folio_485_COMPLETE.json</t>
  </si>
  <si>
    <t>CHARKIT CHEMICAL CORP, INC PREMIER WARE</t>
  </si>
  <si>
    <t>F1972</t>
  </si>
  <si>
    <t>ITEM_0219127221</t>
  </si>
  <si>
    <t>migration_folio_489_COMPLETE.json</t>
  </si>
  <si>
    <t>F1977</t>
  </si>
  <si>
    <t>migration_folio_491_COMPLETE.json</t>
  </si>
  <si>
    <t>F1979</t>
  </si>
  <si>
    <t>migration_folio_644_COMPLETE.json</t>
  </si>
  <si>
    <t>F1976</t>
  </si>
  <si>
    <t>migration_folio_220_COMPLETE.json</t>
  </si>
  <si>
    <t>F1702</t>
  </si>
  <si>
    <t>ITEM_0219131211</t>
  </si>
  <si>
    <t>migration_folio_233_COMPLETE.json</t>
  </si>
  <si>
    <t>F1713</t>
  </si>
  <si>
    <t>migration_folio_242_COMPLETE.json</t>
  </si>
  <si>
    <t>F1684</t>
  </si>
  <si>
    <t>migration_folio_436_COMPLETE.json</t>
  </si>
  <si>
    <t>F1920</t>
  </si>
  <si>
    <t>ITEM_0219132221</t>
  </si>
  <si>
    <t>migration_folio_252_COMPLETE.json</t>
  </si>
  <si>
    <t>F1730</t>
  </si>
  <si>
    <t>ITEM_0219134211</t>
  </si>
  <si>
    <t>migration_folio_438_COMPLETE.json</t>
  </si>
  <si>
    <t>F1923</t>
  </si>
  <si>
    <t>ITEM_0219134221</t>
  </si>
  <si>
    <t>migration_folio_221_COMPLETE.json</t>
  </si>
  <si>
    <t>ITEM_0219135211</t>
  </si>
  <si>
    <t>migration_folio_295_COMPLETE.json</t>
  </si>
  <si>
    <t>F1772</t>
  </si>
  <si>
    <t>migration_folio_300_COMPLETE.json</t>
  </si>
  <si>
    <t>F1775</t>
  </si>
  <si>
    <t>migration_folio_442_COMPLETE.json</t>
  </si>
  <si>
    <t>F1924</t>
  </si>
  <si>
    <t>ITEM_0219135221</t>
  </si>
  <si>
    <t>migration_folio_238_COMPLETE.json</t>
  </si>
  <si>
    <t>F1718</t>
  </si>
  <si>
    <t>ITEM_0219136211</t>
  </si>
  <si>
    <t>migration_folio_243_COMPLETE.json</t>
  </si>
  <si>
    <t>F1722</t>
  </si>
  <si>
    <t>migration_folio_245_COMPLETE.json</t>
  </si>
  <si>
    <t>F1724</t>
  </si>
  <si>
    <t>migration_folio_248_COMPLETE.json</t>
  </si>
  <si>
    <t>F1728</t>
  </si>
  <si>
    <t>migration_folio_249_COMPLETE.json</t>
  </si>
  <si>
    <t>migration_folio_253_COMPLETE.json</t>
  </si>
  <si>
    <t>F1731</t>
  </si>
  <si>
    <t>migration_folio_254_COMPLETE.json</t>
  </si>
  <si>
    <t>F1732</t>
  </si>
  <si>
    <t>migration_folio_258_COMPLETE.json</t>
  </si>
  <si>
    <t>F1735</t>
  </si>
  <si>
    <t>migration_folio_265_COMPLETE.json</t>
  </si>
  <si>
    <t>F1740</t>
  </si>
  <si>
    <t>migration_folio_321_COMPLETE.json</t>
  </si>
  <si>
    <t>F1795</t>
  </si>
  <si>
    <t>ITEM_0219139211</t>
  </si>
  <si>
    <t>migration_folio_339_COMPLETE.json</t>
  </si>
  <si>
    <t>NATURAL MITCH</t>
  </si>
  <si>
    <t>F1817</t>
  </si>
  <si>
    <t>migration_folio_222_COMPLETE.json</t>
  </si>
  <si>
    <t>F1703</t>
  </si>
  <si>
    <t>ITEM_0219140211</t>
  </si>
  <si>
    <t>migration_folio_224_COMPLETE.json</t>
  </si>
  <si>
    <t>F1704</t>
  </si>
  <si>
    <t>migration_folio_225_COMPLETE.json</t>
  </si>
  <si>
    <t>MATERIAL WORLD INDUSTRIAL CO.,LTD.</t>
  </si>
  <si>
    <t>F1706</t>
  </si>
  <si>
    <t>migration_folio_226_COMPLETE.json</t>
  </si>
  <si>
    <t>F1705</t>
  </si>
  <si>
    <t>migration_folio_227_COMPLETE.json</t>
  </si>
  <si>
    <t>F1707</t>
  </si>
  <si>
    <t>migration_folio_228_COMPLETE.json</t>
  </si>
  <si>
    <t>F1708</t>
  </si>
  <si>
    <t>migration_folio_229_COMPLETE.json</t>
  </si>
  <si>
    <t>F1709</t>
  </si>
  <si>
    <t>migration_folio_230_COMPLETE.json</t>
  </si>
  <si>
    <t>F1710</t>
  </si>
  <si>
    <t>migration_folio_232_COMPLETE.json</t>
  </si>
  <si>
    <t>MAGNACHEM INTERNATIONAL S.A.</t>
  </si>
  <si>
    <t>F1712</t>
  </si>
  <si>
    <t>migration_folio_256_COMPLETE.json</t>
  </si>
  <si>
    <t>F1733</t>
  </si>
  <si>
    <t>migration_folio_261_COMPLETE.json</t>
  </si>
  <si>
    <t>F1737</t>
  </si>
  <si>
    <t>migration_folio_263_COMPLETE.json</t>
  </si>
  <si>
    <t>FRUTAROM BELGIUM N.V.</t>
  </si>
  <si>
    <t>F1739</t>
  </si>
  <si>
    <t>migration_folio_268_COMPLETE.json</t>
  </si>
  <si>
    <t>F1745</t>
  </si>
  <si>
    <t>migration_folio_270_COMPLETE.json</t>
  </si>
  <si>
    <t>migration_folio_285_COMPLETE.json</t>
  </si>
  <si>
    <t>F1762</t>
  </si>
  <si>
    <t>migration_folio_291_COMPLETE.json</t>
  </si>
  <si>
    <t>F1767</t>
  </si>
  <si>
    <t>migration_folio_292_COMPLETE.json</t>
  </si>
  <si>
    <t>F1769</t>
  </si>
  <si>
    <t>migration_folio_293_COMPLETE.json</t>
  </si>
  <si>
    <t>F1771</t>
  </si>
  <si>
    <t>migration_folio_302_COMPLETE.json</t>
  </si>
  <si>
    <t>F1778</t>
  </si>
  <si>
    <t>migration_folio_305_COMPLETE.json</t>
  </si>
  <si>
    <t>F1774</t>
  </si>
  <si>
    <t>migration_folio_307_COMPLETE.json</t>
  </si>
  <si>
    <t>F1781</t>
  </si>
  <si>
    <t>migration_folio_314_COMPLETE.json</t>
  </si>
  <si>
    <t>F1789</t>
  </si>
  <si>
    <t>migration_folio_316_COMPLETE.json</t>
  </si>
  <si>
    <t>F1790</t>
  </si>
  <si>
    <t>migration_folio_632_COMPLETE.json</t>
  </si>
  <si>
    <t>F1770</t>
  </si>
  <si>
    <t>migration_folio_652_COMPLETE.json</t>
  </si>
  <si>
    <t>F1744</t>
  </si>
  <si>
    <t>migration_folio_454_COMPLETE.json</t>
  </si>
  <si>
    <t>F1937</t>
  </si>
  <si>
    <t>ITEM_0219140221</t>
  </si>
  <si>
    <t>migration_folio_475_COMPLETE.json</t>
  </si>
  <si>
    <t>F1961</t>
  </si>
  <si>
    <t>migration_folio_33_COMPLETE.json</t>
  </si>
  <si>
    <t>F1491</t>
  </si>
  <si>
    <t>migration_folio_34_COMPLETE.json</t>
  </si>
  <si>
    <t>CHARKIT CHEMICAL CORPORATION</t>
  </si>
  <si>
    <t>F1492</t>
  </si>
  <si>
    <t>migration_folio_38_COMPLETE.json</t>
  </si>
  <si>
    <t>F1497</t>
  </si>
  <si>
    <t>migration_folio_42_COMPLETE.json</t>
  </si>
  <si>
    <t>F1501</t>
  </si>
  <si>
    <t>migration_folio_75_COMPLETE.json</t>
  </si>
  <si>
    <t>F1537</t>
  </si>
  <si>
    <t>migration_folio_102_COMPLETE.json</t>
  </si>
  <si>
    <t>F1571</t>
  </si>
  <si>
    <t>ITEM_0219142201</t>
  </si>
  <si>
    <t>migration_folio_121_COMPLETE.json</t>
  </si>
  <si>
    <t>F1598</t>
  </si>
  <si>
    <t>migration_folio_143_COMPLETE.json</t>
  </si>
  <si>
    <t>F1613</t>
  </si>
  <si>
    <t>migration_folio_146_COMPLETE.json</t>
  </si>
  <si>
    <t>F1616</t>
  </si>
  <si>
    <t>migration_folio_147_COMPLETE.json</t>
  </si>
  <si>
    <t>F1617</t>
  </si>
  <si>
    <t>migration_folio_168_COMPLETE.json</t>
  </si>
  <si>
    <t>migration_folio_202_COMPLETE.json</t>
  </si>
  <si>
    <t>F1680</t>
  </si>
  <si>
    <t>migration_folio_203_COMPLETE.json</t>
  </si>
  <si>
    <t>F1681</t>
  </si>
  <si>
    <t>migration_folio_7_COMPLETE.json</t>
  </si>
  <si>
    <t>GREENTECH S.A</t>
  </si>
  <si>
    <t>F1461</t>
  </si>
  <si>
    <t>migration_folio_8_COMPLETE.json</t>
  </si>
  <si>
    <t>F1462</t>
  </si>
  <si>
    <t>migration_folio_14_COMPLETE.json</t>
  </si>
  <si>
    <t>F1469</t>
  </si>
  <si>
    <t>migration_folio_59_COMPLETE.json</t>
  </si>
  <si>
    <t>F1520</t>
  </si>
  <si>
    <t>migration_folio_61_COMPLETE.json</t>
  </si>
  <si>
    <t>F1522</t>
  </si>
  <si>
    <t>migration_folio_79_COMPLETE.json</t>
  </si>
  <si>
    <t>F1541</t>
  </si>
  <si>
    <t>migration_folio_105_COMPLETE.json</t>
  </si>
  <si>
    <t>F1578</t>
  </si>
  <si>
    <t>ITEM_0219149201</t>
  </si>
  <si>
    <t>migration_folio_255_COMPLETE.json</t>
  </si>
  <si>
    <t>F1715</t>
  </si>
  <si>
    <t>ITEM_0219157211</t>
  </si>
  <si>
    <t>migration_folio_605_COMPLETE.json</t>
  </si>
  <si>
    <t>F2010</t>
  </si>
  <si>
    <t>ITEM_0219157221</t>
  </si>
  <si>
    <t>migration_folio_51_COMPLETE.json</t>
  </si>
  <si>
    <t>F1511</t>
  </si>
  <si>
    <t>migration_folio_58_COMPLETE.json</t>
  </si>
  <si>
    <t>F1519</t>
  </si>
  <si>
    <t>migration_folio_84_COMPLETE.json</t>
  </si>
  <si>
    <t>F1547</t>
  </si>
  <si>
    <t>migration_folio_85_COMPLETE.json</t>
  </si>
  <si>
    <t>F1548</t>
  </si>
  <si>
    <t>migration_folio_111_COMPLETE.json</t>
  </si>
  <si>
    <t>F1586</t>
  </si>
  <si>
    <t>ITEM_0219159201</t>
  </si>
  <si>
    <t>migration_folio_50_COMPLETE.json</t>
  </si>
  <si>
    <t>F1510</t>
  </si>
  <si>
    <t>migration_folio_271_COMPLETE.json</t>
  </si>
  <si>
    <t>F1747</t>
  </si>
  <si>
    <t>ITEM_0219164211</t>
  </si>
  <si>
    <t>migration_folio_272_COMPLETE.json</t>
  </si>
  <si>
    <t>F1750</t>
  </si>
  <si>
    <t>migration_folio_275_COMPLETE.json</t>
  </si>
  <si>
    <t>F1752</t>
  </si>
  <si>
    <t>migration_folio_278_COMPLETE.json</t>
  </si>
  <si>
    <t>F1756</t>
  </si>
  <si>
    <t>migration_folio_279_COMPLETE.json</t>
  </si>
  <si>
    <t>F1757</t>
  </si>
  <si>
    <t>migration_folio_281_COMPLETE.json</t>
  </si>
  <si>
    <t>F1759</t>
  </si>
  <si>
    <t>migration_folio_290_COMPLETE.json</t>
  </si>
  <si>
    <t>F1766</t>
  </si>
  <si>
    <t>migration_folio_317_COMPLETE.json</t>
  </si>
  <si>
    <t>F1791</t>
  </si>
  <si>
    <t>migration_folio_319_COMPLETE.json</t>
  </si>
  <si>
    <t>F1793</t>
  </si>
  <si>
    <t>migration_folio_327_COMPLETE.json</t>
  </si>
  <si>
    <t>F1804</t>
  </si>
  <si>
    <t>migration_folio_332_COMPLETE.json</t>
  </si>
  <si>
    <t>F1810</t>
  </si>
  <si>
    <t>migration_folio_333_COMPLETE.json</t>
  </si>
  <si>
    <t>F1809</t>
  </si>
  <si>
    <t>migration_folio_334_COMPLETE.json</t>
  </si>
  <si>
    <t>F1811</t>
  </si>
  <si>
    <t>migration_folio_337_COMPLETE.json</t>
  </si>
  <si>
    <t>Alberto Becker</t>
  </si>
  <si>
    <t>F1815</t>
  </si>
  <si>
    <t>migration_folio_338_COMPLETE.json</t>
  </si>
  <si>
    <t>F1816</t>
  </si>
  <si>
    <t>migration_folio_359_COMPLETE.json</t>
  </si>
  <si>
    <t>F1813</t>
  </si>
  <si>
    <t>migration_folio_630_COMPLETE.json</t>
  </si>
  <si>
    <t>F1748</t>
  </si>
  <si>
    <t>migration_folio_631_COMPLETE.json</t>
  </si>
  <si>
    <t>F1749</t>
  </si>
  <si>
    <t>migration_folio_494_COMPLETE.json</t>
  </si>
  <si>
    <t>F1984</t>
  </si>
  <si>
    <t>ITEM_0219168221</t>
  </si>
  <si>
    <t>migration_folio_646_COMPLETE.json</t>
  </si>
  <si>
    <t>F1983</t>
  </si>
  <si>
    <t>migration_folio_266_COMPLETE.json</t>
  </si>
  <si>
    <t>F1741</t>
  </si>
  <si>
    <t>ITEM_0219174211</t>
  </si>
  <si>
    <t>ITEM_0219180211</t>
  </si>
  <si>
    <t>migration_folio_288_COMPLETE.json</t>
  </si>
  <si>
    <t>F1764</t>
  </si>
  <si>
    <t>migration_folio_296_COMPLETE.json</t>
  </si>
  <si>
    <t>ITEM_0219184211</t>
  </si>
  <si>
    <t>ITEM_0219185211</t>
  </si>
  <si>
    <t>migration_folio_654_COMPLETE.json</t>
  </si>
  <si>
    <t>F2118</t>
  </si>
  <si>
    <t>ITEM_0240097231</t>
  </si>
  <si>
    <t>ALOE VERA Aloe Vera Gel Concentrate 7X =  3.5% S.T. A.V.</t>
  </si>
  <si>
    <t>migration_folio_31_COMPLETE.json</t>
  </si>
  <si>
    <t>COSMO BEAUTY CO., LTD.</t>
  </si>
  <si>
    <t>F1489</t>
  </si>
  <si>
    <t>ALOE VERA GEL JUICE COSMETIC GRADE</t>
  </si>
  <si>
    <t>migration_folio_32_COMPLETE.json</t>
  </si>
  <si>
    <t>F1490</t>
  </si>
  <si>
    <t>ITEM_0256042221</t>
  </si>
  <si>
    <t>migration_folio_320_COMPLETE.json</t>
  </si>
  <si>
    <t>F1794</t>
  </si>
  <si>
    <t>ITEM_0256054221</t>
  </si>
  <si>
    <t>migration_folio_397_COMPLETE.json</t>
  </si>
  <si>
    <t>F1883</t>
  </si>
  <si>
    <t>ITEM_0256099221</t>
  </si>
  <si>
    <t>migration_folio_108_COMPLETE.json</t>
  </si>
  <si>
    <t>F1581</t>
  </si>
  <si>
    <t>ITEM_0256142201</t>
  </si>
  <si>
    <t>migration_folio_74_COMPLETE.json</t>
  </si>
  <si>
    <t>F1536</t>
  </si>
  <si>
    <t>ALOE VERA AVG 100X:  Mezclado 30 Aloe vera Powder/ 70 MDX</t>
  </si>
  <si>
    <t>migration_folio_17_COMPLETE.json</t>
  </si>
  <si>
    <t>BE HEMP S.A DE C.V</t>
  </si>
  <si>
    <t>F1472</t>
  </si>
  <si>
    <t>ALOE VERA ALOE 100X:  Aloe Vera Powder 30/70 MDX</t>
  </si>
  <si>
    <t>migration_folio_335_COMPLETE.json</t>
  </si>
  <si>
    <t>Be Hemp S.A. de C.V.</t>
  </si>
  <si>
    <t>F1812</t>
  </si>
  <si>
    <t>ITEM_0260065221</t>
  </si>
  <si>
    <t>migration_folio_151_COMPLETE.json</t>
  </si>
  <si>
    <t>F1626</t>
  </si>
  <si>
    <t>ITEM_0260103211</t>
  </si>
  <si>
    <t>migration_folio_156_COMPLETE.json</t>
  </si>
  <si>
    <t>F1632</t>
  </si>
  <si>
    <t>migration_folio_402_COMPLETE.json</t>
  </si>
  <si>
    <t>F1888</t>
  </si>
  <si>
    <t>ITEM_0260119221</t>
  </si>
  <si>
    <t>migration_folio_437_COMPLETE.json</t>
  </si>
  <si>
    <t>F1922</t>
  </si>
  <si>
    <t>ITEM_0260136221</t>
  </si>
  <si>
    <t>migration_folio_488_COMPLETE.json</t>
  </si>
  <si>
    <t>F1975</t>
  </si>
  <si>
    <t>ITEM_0260165221</t>
  </si>
  <si>
    <t>migration_folio_282_COMPLETE.json</t>
  </si>
  <si>
    <t>F1758</t>
  </si>
  <si>
    <t>ITEM_0262020221</t>
  </si>
  <si>
    <t>ALOE VERA INNOVALOE ALOE VERA GEL SPRAY DREID POWDER 200:1 ORGANIC</t>
  </si>
  <si>
    <t>migration_folio_346_COMPLETE.json</t>
  </si>
  <si>
    <t>F1825</t>
  </si>
  <si>
    <t>ITEM_0262068221</t>
  </si>
  <si>
    <t>migration_folio_1104_COMPLETE.json</t>
  </si>
  <si>
    <t>BARENTZ Italia S.p.A.</t>
  </si>
  <si>
    <t>F2596</t>
  </si>
  <si>
    <t>ITEM_0262089251</t>
  </si>
  <si>
    <t>migration_folio_414_COMPLETE.json</t>
  </si>
  <si>
    <t>F1896</t>
  </si>
  <si>
    <t>ITEM_0262122221</t>
  </si>
  <si>
    <t>INNOVALOE ALOE VERA GEL SPRAY DREID POWDER 200:1 ORGANIC</t>
  </si>
  <si>
    <t>migration_folio_705_COMPLETE.json</t>
  </si>
  <si>
    <t>F2176</t>
  </si>
  <si>
    <t>ITEM_0262142231</t>
  </si>
  <si>
    <t>migration_folio_94_COMPLETE.json</t>
  </si>
  <si>
    <t>F1558</t>
  </si>
  <si>
    <t>ALOE VERA ALOE VERA CONCENTRATE 10 X + 30% MALTODEXTRINA</t>
  </si>
  <si>
    <t>migration_folio_548_COMPLETE.json</t>
  </si>
  <si>
    <t>F2047</t>
  </si>
  <si>
    <t>ITEM_0264052231</t>
  </si>
  <si>
    <t>migration_folio_620_COMPLETE.json</t>
  </si>
  <si>
    <t>F2083</t>
  </si>
  <si>
    <t>migration_folio_162_COMPLETE.json</t>
  </si>
  <si>
    <t>F1638</t>
  </si>
  <si>
    <t>ITEM_0264096211</t>
  </si>
  <si>
    <t>ITEM_0264105221</t>
  </si>
  <si>
    <t>migration_folio_117_COMPLETE.json</t>
  </si>
  <si>
    <t>F1591</t>
  </si>
  <si>
    <t>ITEM_0265020211</t>
  </si>
  <si>
    <t>migration_folio_158_COMPLETE.json</t>
  </si>
  <si>
    <t>F1634</t>
  </si>
  <si>
    <t>migration_folio_200_COMPLETE.json</t>
  </si>
  <si>
    <t>F1678</t>
  </si>
  <si>
    <t>migration_folio_40_COMPLETE.json</t>
  </si>
  <si>
    <t>F1499</t>
  </si>
  <si>
    <t>migration_folio_216_COMPLETE.json</t>
  </si>
  <si>
    <t>F1697</t>
  </si>
  <si>
    <t>ITEM_0265089211</t>
  </si>
  <si>
    <t>migration_folio_218_COMPLETE.json</t>
  </si>
  <si>
    <t>F1700</t>
  </si>
  <si>
    <t>migration_folio_432_COMPLETE.json</t>
  </si>
  <si>
    <t>F1914</t>
  </si>
  <si>
    <t>ITEM_0265131221</t>
  </si>
  <si>
    <t>INNOVALOE ALOE VERA GEL FD POWDER 200:1 HP ORGANIC</t>
  </si>
  <si>
    <t>migration_folio_298_COMPLETE.json</t>
  </si>
  <si>
    <t>ITEM_0266035221</t>
  </si>
  <si>
    <t>ALOE VERA 200X ALOE VERA SD VENDIDO COMO FD</t>
  </si>
  <si>
    <t>ITEM_0266073211</t>
  </si>
  <si>
    <t>migration_folio_345_COMPLETE.json</t>
  </si>
  <si>
    <t>F1826</t>
  </si>
  <si>
    <t>ITEM_0268077221</t>
  </si>
  <si>
    <t>ALOE VERA 200x  CONVENCIONAL  + POLVO RETENIDO 0272 (15%-20% ACEMANNAN)</t>
  </si>
  <si>
    <t>migration_folio_171_COMPLETE.json</t>
  </si>
  <si>
    <t>F1647</t>
  </si>
  <si>
    <t>ITEM_0268108211</t>
  </si>
  <si>
    <t>migration_folio_465_COMPLETE.json</t>
  </si>
  <si>
    <t>F1951</t>
  </si>
  <si>
    <t>ITEM_0268148221</t>
  </si>
  <si>
    <t>ITEM_0275017221</t>
  </si>
  <si>
    <t>migration_folio_525_COMPLETE.json</t>
  </si>
  <si>
    <t>F2021</t>
  </si>
  <si>
    <t>ITEM_0275023231</t>
  </si>
  <si>
    <t>migration_folio_299_COMPLETE.json</t>
  </si>
  <si>
    <t>ITEM_0275036221</t>
  </si>
  <si>
    <t>migration_folio_57_COMPLETE.json</t>
  </si>
  <si>
    <t>F1518</t>
  </si>
  <si>
    <t>migration_folio_341_COMPLETE.json</t>
  </si>
  <si>
    <t>F1819</t>
  </si>
  <si>
    <t>ITEM_0284033221</t>
  </si>
  <si>
    <t>ALOE VERA ALOE VERA SDB (0.5%ST+10% PULPA)</t>
  </si>
  <si>
    <t>migration_folio_635_COMPLETE.json</t>
  </si>
  <si>
    <t>F1801</t>
  </si>
  <si>
    <t>migration_folio_180_COMPLETE.json</t>
  </si>
  <si>
    <t>F1657</t>
  </si>
  <si>
    <t>ITEM_0284106211</t>
  </si>
  <si>
    <t>migration_folio_219_COMPLETE.json</t>
  </si>
  <si>
    <t>F1701</t>
  </si>
  <si>
    <t>ITEM_0286088211</t>
  </si>
  <si>
    <t>migration_folio_26_COMPLETE.json</t>
  </si>
  <si>
    <t>F1483</t>
  </si>
  <si>
    <t>ALOE VERA CONCENTRADO PERMEADO</t>
  </si>
  <si>
    <t>migration_folio_286_COMPLETE.json</t>
  </si>
  <si>
    <t>F1761</t>
  </si>
  <si>
    <t>ITEM_0291014221</t>
  </si>
  <si>
    <t>migration_folio_97_COMPLETE.json</t>
  </si>
  <si>
    <t>F1562</t>
  </si>
  <si>
    <t>migration_folio_161_COMPLETE.json</t>
  </si>
  <si>
    <t>F1637</t>
  </si>
  <si>
    <t>ITEM_0291099211</t>
  </si>
  <si>
    <t>migration_folio_244_COMPLETE.json</t>
  </si>
  <si>
    <t>F1723</t>
  </si>
  <si>
    <t>ITEM_0291152211</t>
  </si>
  <si>
    <t>migration_folio_493_COMPLETE.json</t>
  </si>
  <si>
    <t>F1982</t>
  </si>
  <si>
    <t>ITEM_0291160221</t>
  </si>
  <si>
    <t>ALOE VERA ALOE VERA GEL JUICE 1:1</t>
  </si>
  <si>
    <t>migration_folio_11_COMPLETE.json</t>
  </si>
  <si>
    <t>F1466</t>
  </si>
  <si>
    <t>ITEM_0291163201</t>
  </si>
  <si>
    <t>migration_folio_116_COMPLETE.json</t>
  </si>
  <si>
    <t>F1590</t>
  </si>
  <si>
    <t>ITEM_0295081211</t>
  </si>
  <si>
    <t>ALOE VERA Aloe Vera 200X Convencional + 200X Retendio (10-15% Polisacaridos)</t>
  </si>
  <si>
    <t>migration_folio_250_COMPLETE.json</t>
  </si>
  <si>
    <t>F1726</t>
  </si>
  <si>
    <t>ITEM_0295177211</t>
  </si>
  <si>
    <t>migration_folio_505_COMPLETE.json</t>
  </si>
  <si>
    <t>F1997</t>
  </si>
  <si>
    <t>ITEM_0301011231</t>
  </si>
  <si>
    <t>migration_folio_506_COMPLETE.json</t>
  </si>
  <si>
    <t>F1998</t>
  </si>
  <si>
    <t>migration_folio_511_COMPLETE.json</t>
  </si>
  <si>
    <t>F2002</t>
  </si>
  <si>
    <t>migration_folio_512_COMPLETE.json</t>
  </si>
  <si>
    <t>F2003</t>
  </si>
  <si>
    <t>migration_folio_517_COMPLETE.json</t>
  </si>
  <si>
    <t>F2011</t>
  </si>
  <si>
    <t>migration_folio_521_COMPLETE.json</t>
  </si>
  <si>
    <t>F2015</t>
  </si>
  <si>
    <t>migration_folio_522_COMPLETE.json</t>
  </si>
  <si>
    <t>F2017</t>
  </si>
  <si>
    <t>migration_folio_523_COMPLETE.json</t>
  </si>
  <si>
    <t>migration_folio_526_COMPLETE.json</t>
  </si>
  <si>
    <t>F2014</t>
  </si>
  <si>
    <t>migration_folio_529_COMPLETE.json</t>
  </si>
  <si>
    <t>F2024</t>
  </si>
  <si>
    <t>migration_folio_531_COMPLETE.json</t>
  </si>
  <si>
    <t>F2026</t>
  </si>
  <si>
    <t>migration_folio_595_COMPLETE.json</t>
  </si>
  <si>
    <t>F2028</t>
  </si>
  <si>
    <t>200X INNOVALOE ALOE VERA PERMEADO</t>
  </si>
  <si>
    <t>migration_folio_604_COMPLETE.json</t>
  </si>
  <si>
    <t>F2009</t>
  </si>
  <si>
    <t>migration_folio_606_COMPLETE.json</t>
  </si>
  <si>
    <t>F2016</t>
  </si>
  <si>
    <t>migration_folio_607_COMPLETE.json</t>
  </si>
  <si>
    <t>F2023</t>
  </si>
  <si>
    <t>migration_folio_697_COMPLETE.json</t>
  </si>
  <si>
    <t>F2167</t>
  </si>
  <si>
    <t>ITEM_0301117231</t>
  </si>
  <si>
    <t>AVG 200X ALOE VERA PERMEADO</t>
  </si>
  <si>
    <t>migration_folio_698_COMPLETE.json</t>
  </si>
  <si>
    <t>F2166</t>
  </si>
  <si>
    <t>migration_folio_702_COMPLETE.json</t>
  </si>
  <si>
    <t>F2172</t>
  </si>
  <si>
    <t>migration_folio_703_COMPLETE.json</t>
  </si>
  <si>
    <t>F2174</t>
  </si>
  <si>
    <t>migration_folio_718_COMPLETE.json</t>
  </si>
  <si>
    <t>,USD,0638149241,ITEM_0638149241,ALOE QX ALOE 72% + GOMA BB 28%,1.0,232.35</t>
  </si>
  <si>
    <t>F2187</t>
  </si>
  <si>
    <t>migration_folio_719_COMPLETE.json</t>
  </si>
  <si>
    <t>(env) frappe@UbuntuVM:~/sysmayaldata/foxpro_migration/data/json_files/out$</t>
  </si>
  <si>
    <t>F2188</t>
  </si>
  <si>
    <t>migration_folio_724_COMPLETE.json</t>
  </si>
  <si>
    <t>F2194</t>
  </si>
  <si>
    <t>migration_folio_725_COMPLETE.json</t>
  </si>
  <si>
    <t>F2195</t>
  </si>
  <si>
    <t>migration_folio_726_COMPLETE.json</t>
  </si>
  <si>
    <t>F2196</t>
  </si>
  <si>
    <t>migration_folio_733_COMPLETE.json</t>
  </si>
  <si>
    <t>F2208</t>
  </si>
  <si>
    <t>migration_folio_735_COMPLETE.json</t>
  </si>
  <si>
    <t>F2210</t>
  </si>
  <si>
    <t>migration_folio_738_COMPLETE.json</t>
  </si>
  <si>
    <t>F2213</t>
  </si>
  <si>
    <t>migration_folio_794_COMPLETE.json</t>
  </si>
  <si>
    <t>F2192</t>
  </si>
  <si>
    <t>migration_folio_795_COMPLETE.json</t>
  </si>
  <si>
    <t>F2206</t>
  </si>
  <si>
    <t>ITEM_0302010231</t>
  </si>
  <si>
    <t>migration_folio_1032_COMPLETE.json</t>
  </si>
  <si>
    <t>F2514</t>
  </si>
  <si>
    <t>ITEM_0303042251</t>
  </si>
  <si>
    <t>AVG 200X ALOE VERA NORMAL</t>
  </si>
  <si>
    <t>migration_folio_567_COMPLETE.json</t>
  </si>
  <si>
    <t>F2074</t>
  </si>
  <si>
    <t>ITEM_0303044231</t>
  </si>
  <si>
    <t>migration_folio_579_COMPLETE.json</t>
  </si>
  <si>
    <t>F2090</t>
  </si>
  <si>
    <t>ITEM_0303066231</t>
  </si>
  <si>
    <t>migration_folio_582_COMPLETE.json</t>
  </si>
  <si>
    <t>F2093</t>
  </si>
  <si>
    <t>AVG 200X (AS 3 PPM) INNOVALOE ALOE VERA GEL SPRAY DRIED POWDER 200:1 ORGANIC</t>
  </si>
  <si>
    <t>migration_folio_583_COMPLETE.json</t>
  </si>
  <si>
    <t>F2096</t>
  </si>
  <si>
    <t>migration_folio_584_COMPLETE.json</t>
  </si>
  <si>
    <t>F2097</t>
  </si>
  <si>
    <t>migration_folio_590_COMPLETE.json</t>
  </si>
  <si>
    <t>Barentz ApS</t>
  </si>
  <si>
    <t>F2102</t>
  </si>
  <si>
    <t>migration_folio_598_COMPLETE.json</t>
  </si>
  <si>
    <t>F2113</t>
  </si>
  <si>
    <t>migration_folio_629_COMPLETE.json</t>
  </si>
  <si>
    <t>F2117</t>
  </si>
  <si>
    <t>migration_folio_655_COMPLETE.json</t>
  </si>
  <si>
    <t>F2120</t>
  </si>
  <si>
    <t>migration_folio_659_COMPLETE.json</t>
  </si>
  <si>
    <t>F2124</t>
  </si>
  <si>
    <t>migration_folio_668_COMPLETE.json</t>
  </si>
  <si>
    <t>F2133</t>
  </si>
  <si>
    <t>migration_folio_568_COMPLETE.json</t>
  </si>
  <si>
    <t>F2075</t>
  </si>
  <si>
    <t>ITEM_0303068231</t>
  </si>
  <si>
    <t>migration_folio_574_COMPLETE.json</t>
  </si>
  <si>
    <t>F2080</t>
  </si>
  <si>
    <t>migration_folio_580_COMPLETE.json</t>
  </si>
  <si>
    <t>F2091</t>
  </si>
  <si>
    <t>migration_folio_586_COMPLETE.json</t>
  </si>
  <si>
    <t>F2098</t>
  </si>
  <si>
    <t>migration_folio_587_COMPLETE.json</t>
  </si>
  <si>
    <t>F2099</t>
  </si>
  <si>
    <t>migration_folio_589_COMPLETE.json</t>
  </si>
  <si>
    <t>F2101</t>
  </si>
  <si>
    <t>migration_folio_592_COMPLETE.json</t>
  </si>
  <si>
    <t>F2103</t>
  </si>
  <si>
    <t>migration_folio_593_COMPLETE.json</t>
  </si>
  <si>
    <t>F2105</t>
  </si>
  <si>
    <t>migration_folio_594_COMPLETE.json</t>
  </si>
  <si>
    <t>F2106</t>
  </si>
  <si>
    <t>migration_folio_667_COMPLETE.json</t>
  </si>
  <si>
    <t>F2132</t>
  </si>
  <si>
    <t>ITEM_0303080231</t>
  </si>
  <si>
    <t>migration_folio_677_COMPLETE.json</t>
  </si>
  <si>
    <t>F2144</t>
  </si>
  <si>
    <t>INNOVALOE ALOE VERA GEL FREEZE DRIED POWDER 200:1</t>
  </si>
  <si>
    <t>ALOE VERA NORMAL</t>
  </si>
  <si>
    <t>migration_folio_695_COMPLETE.json</t>
  </si>
  <si>
    <t>F2163</t>
  </si>
  <si>
    <t>migration_folio_662_COMPLETE.json</t>
  </si>
  <si>
    <t>F2126</t>
  </si>
  <si>
    <t>ITEM_0303091231</t>
  </si>
  <si>
    <t>migration_folio_663_COMPLETE.json</t>
  </si>
  <si>
    <t>F2127</t>
  </si>
  <si>
    <t>migration_folio_671_COMPLETE.json</t>
  </si>
  <si>
    <t>F2135</t>
  </si>
  <si>
    <t>migration_folio_673_COMPLETE.json</t>
  </si>
  <si>
    <t>F2139</t>
  </si>
  <si>
    <t>migration_folio_674_COMPLETE.json</t>
  </si>
  <si>
    <t>F2140</t>
  </si>
  <si>
    <t>migration_folio_675_COMPLETE.json</t>
  </si>
  <si>
    <t>BARENTZ APS</t>
  </si>
  <si>
    <t>F2141</t>
  </si>
  <si>
    <t>migration_folio_676_COMPLETE.json</t>
  </si>
  <si>
    <t>F2143</t>
  </si>
  <si>
    <t>migration_folio_681_COMPLETE.json</t>
  </si>
  <si>
    <t>F2149</t>
  </si>
  <si>
    <t>migration_folio_683_COMPLETE.json</t>
  </si>
  <si>
    <t>migration_folio_686_COMPLETE.json</t>
  </si>
  <si>
    <t>F2153</t>
  </si>
  <si>
    <t>migration_folio_688_COMPLETE.json</t>
  </si>
  <si>
    <t>F2155</t>
  </si>
  <si>
    <t>migration_folio_689_COMPLETE.json</t>
  </si>
  <si>
    <t>F2156</t>
  </si>
  <si>
    <t>migration_folio_690_COMPLETE.json</t>
  </si>
  <si>
    <t>F2157</t>
  </si>
  <si>
    <t>migration_folio_694_COMPLETE.json</t>
  </si>
  <si>
    <t>F2161</t>
  </si>
  <si>
    <t>migration_folio_706_COMPLETE.json</t>
  </si>
  <si>
    <t>F2178</t>
  </si>
  <si>
    <t>migration_folio_712_COMPLETE.json</t>
  </si>
  <si>
    <t>F2181</t>
  </si>
  <si>
    <t>migration_folio_736_COMPLETE.json</t>
  </si>
  <si>
    <t>F2211</t>
  </si>
  <si>
    <t>migration_folio_682_COMPLETE.json</t>
  </si>
  <si>
    <t>F2150</t>
  </si>
  <si>
    <t>ITEM_0303102231</t>
  </si>
  <si>
    <t>migration_folio_691_COMPLETE.json</t>
  </si>
  <si>
    <t>F2158</t>
  </si>
  <si>
    <t>migration_folio_708_COMPLETE.json</t>
  </si>
  <si>
    <t>F2164</t>
  </si>
  <si>
    <t>migration_folio_748_COMPLETE.json</t>
  </si>
  <si>
    <t>F2224</t>
  </si>
  <si>
    <t>migration_folio_798_COMPLETE.json</t>
  </si>
  <si>
    <t>F2277</t>
  </si>
  <si>
    <t>migration_folio_692_COMPLETE.json</t>
  </si>
  <si>
    <t>F2159</t>
  </si>
  <si>
    <t>ITEM_0303108231</t>
  </si>
  <si>
    <t>migration_folio_704_COMPLETE.json</t>
  </si>
  <si>
    <t>F2170</t>
  </si>
  <si>
    <t>migration_folio_710_COMPLETE.json</t>
  </si>
  <si>
    <t>F2177</t>
  </si>
  <si>
    <t>migration_folio_715_COMPLETE.json</t>
  </si>
  <si>
    <t>F2184</t>
  </si>
  <si>
    <t>migration_folio_721_COMPLETE.json</t>
  </si>
  <si>
    <t>F2190</t>
  </si>
  <si>
    <t>migration_folio_722_COMPLETE.json</t>
  </si>
  <si>
    <t>F2191</t>
  </si>
  <si>
    <t>migration_folio_729_COMPLETE.json</t>
  </si>
  <si>
    <t>F2202</t>
  </si>
  <si>
    <t>migration_folio_744_COMPLETE.json</t>
  </si>
  <si>
    <t>F2219</t>
  </si>
  <si>
    <t>migration_folio_750_COMPLETE.json</t>
  </si>
  <si>
    <t>F2226</t>
  </si>
  <si>
    <t>migration_folio_757_COMPLETE.json</t>
  </si>
  <si>
    <t>F2232</t>
  </si>
  <si>
    <t>migration_folio_732_COMPLETE.json</t>
  </si>
  <si>
    <t>F2207</t>
  </si>
  <si>
    <t>ITEM_0303150231</t>
  </si>
  <si>
    <t>migration_folio_742_COMPLETE.json</t>
  </si>
  <si>
    <t>F2217</t>
  </si>
  <si>
    <t>migration_folio_751_COMPLETE.json</t>
  </si>
  <si>
    <t>F2223</t>
  </si>
  <si>
    <t>migration_folio_759_COMPLETE.json</t>
  </si>
  <si>
    <t>F2234</t>
  </si>
  <si>
    <t>migration_folio_793_COMPLETE.json</t>
  </si>
  <si>
    <t>F2273</t>
  </si>
  <si>
    <t>migration_folio_739_COMPLETE.json</t>
  </si>
  <si>
    <t>F2214</t>
  </si>
  <si>
    <t>ITEM_0303161231</t>
  </si>
  <si>
    <t>migration_folio_740_COMPLETE.json</t>
  </si>
  <si>
    <t>F2215</t>
  </si>
  <si>
    <t>migration_folio_741_COMPLETE.json</t>
  </si>
  <si>
    <t>F2216</t>
  </si>
  <si>
    <t>migration_folio_1013_COMPLETE.json</t>
  </si>
  <si>
    <t>F2469</t>
  </si>
  <si>
    <t>ITEM_0303253241</t>
  </si>
  <si>
    <t>migration_folio_1021_COMPLETE.json</t>
  </si>
  <si>
    <t>F2465</t>
  </si>
  <si>
    <t>migration_folio_1022_COMPLETE.json</t>
  </si>
  <si>
    <t>F2478</t>
  </si>
  <si>
    <t>migration_folio_1023_COMPLETE.json</t>
  </si>
  <si>
    <t>F2480</t>
  </si>
  <si>
    <t>ITEM_0306002231</t>
  </si>
  <si>
    <t>migration_folio_495_COMPLETE.json</t>
  </si>
  <si>
    <t>F1985</t>
  </si>
  <si>
    <t>ITEM_0307028231</t>
  </si>
  <si>
    <t>migration_folio_497_COMPLETE.json</t>
  </si>
  <si>
    <t>F1989</t>
  </si>
  <si>
    <t>migration_folio_498_COMPLETE.json</t>
  </si>
  <si>
    <t>F1988</t>
  </si>
  <si>
    <t>migration_folio_501_COMPLETE.json</t>
  </si>
  <si>
    <t>F1994</t>
  </si>
  <si>
    <t>migration_folio_507_COMPLETE.json</t>
  </si>
  <si>
    <t>F1996</t>
  </si>
  <si>
    <t>migration_folio_509_COMPLETE.json</t>
  </si>
  <si>
    <t>F1999</t>
  </si>
  <si>
    <t>migration_folio_514_COMPLETE.json</t>
  </si>
  <si>
    <t>F2005</t>
  </si>
  <si>
    <t>migration_folio_601_COMPLETE.json</t>
  </si>
  <si>
    <t>F1993</t>
  </si>
  <si>
    <t>migration_folio_645_COMPLETE.json</t>
  </si>
  <si>
    <t>F1980</t>
  </si>
  <si>
    <t>migration_folio_530_COMPLETE.json</t>
  </si>
  <si>
    <t>F2025</t>
  </si>
  <si>
    <t>ITEM_0307043231</t>
  </si>
  <si>
    <t>migration_folio_554_COMPLETE.json</t>
  </si>
  <si>
    <t>F2057</t>
  </si>
  <si>
    <t>migration_folio_555_COMPLETE.json</t>
  </si>
  <si>
    <t>F2058</t>
  </si>
  <si>
    <t>migration_folio_562_COMPLETE.json</t>
  </si>
  <si>
    <t>F2069</t>
  </si>
  <si>
    <t>migration_folio_572_COMPLETE.json</t>
  </si>
  <si>
    <t>F2078</t>
  </si>
  <si>
    <t>migration_folio_575_COMPLETE.json</t>
  </si>
  <si>
    <t>F2082</t>
  </si>
  <si>
    <t>migration_folio_576_COMPLETE.json</t>
  </si>
  <si>
    <t>F2085</t>
  </si>
  <si>
    <t>migration_folio_578_COMPLETE.json</t>
  </si>
  <si>
    <t>F2089</t>
  </si>
  <si>
    <t>AVG 200X INNOVALOE ALOE VERA GEL SPRAY DRIED POWDER 200:1</t>
  </si>
  <si>
    <t>migration_folio_614_COMPLETE.json</t>
  </si>
  <si>
    <t>F2056</t>
  </si>
  <si>
    <t>migration_folio_619_COMPLETE.json</t>
  </si>
  <si>
    <t>F2081</t>
  </si>
  <si>
    <t>migration_folio_622_COMPLETE.json</t>
  </si>
  <si>
    <t>F2086</t>
  </si>
  <si>
    <t>migration_folio_657_COMPLETE.json</t>
  </si>
  <si>
    <t>F2122</t>
  </si>
  <si>
    <t>migration_folio_661_COMPLETE.json</t>
  </si>
  <si>
    <t>F2087</t>
  </si>
  <si>
    <t>migration_folio_536_COMPLETE.json</t>
  </si>
  <si>
    <t>F2035</t>
  </si>
  <si>
    <t>ITEM_0307056231</t>
  </si>
  <si>
    <t>ALOE VERA AVG 200X</t>
  </si>
  <si>
    <t>migration_folio_538_COMPLETE.json</t>
  </si>
  <si>
    <t>F2037</t>
  </si>
  <si>
    <t>ITEM_0307058231</t>
  </si>
  <si>
    <t>migration_folio_549_COMPLETE.json</t>
  </si>
  <si>
    <t>F2049</t>
  </si>
  <si>
    <t>ITEM_0307062231</t>
  </si>
  <si>
    <t>migration_folio_611_COMPLETE.json</t>
  </si>
  <si>
    <t>F2048</t>
  </si>
  <si>
    <t>migration_folio_561_COMPLETE.json</t>
  </si>
  <si>
    <t>F2068</t>
  </si>
  <si>
    <t>ITEM_0307063231</t>
  </si>
  <si>
    <t>migration_folio_573_COMPLETE.json</t>
  </si>
  <si>
    <t>F2079</t>
  </si>
  <si>
    <t>migration_folio_552_COMPLETE.json</t>
  </si>
  <si>
    <t>F2053</t>
  </si>
  <si>
    <t>ITEM_0308064231</t>
  </si>
  <si>
    <t>migration_folio_612_COMPLETE.json</t>
  </si>
  <si>
    <t>F2052</t>
  </si>
  <si>
    <t>migration_folio_709_COMPLETE.json</t>
  </si>
  <si>
    <t>F2142</t>
  </si>
  <si>
    <t>ITEM_0308121231</t>
  </si>
  <si>
    <t>migration_folio_756_COMPLETE.json</t>
  </si>
  <si>
    <t>F2231</t>
  </si>
  <si>
    <t>ITEM_0308187231</t>
  </si>
  <si>
    <t>migration_folio_560_COMPLETE.json</t>
  </si>
  <si>
    <t>F2067</t>
  </si>
  <si>
    <t>ITEM_0323072231</t>
  </si>
  <si>
    <t>AVG 200X INNOVALOE ALOE VERA GEL SPRAY DRIED POWDER 200:1 ORGANIC</t>
  </si>
  <si>
    <t>migration_folio_588_COMPLETE.json</t>
  </si>
  <si>
    <t>Brenntag Australia Pty. Ltd.</t>
  </si>
  <si>
    <t>F2100</t>
  </si>
  <si>
    <t>ITEM_0323087231</t>
  </si>
  <si>
    <t>migration_folio_628_COMPLETE.json</t>
  </si>
  <si>
    <t>F2116</t>
  </si>
  <si>
    <t>ITEM_0326104231</t>
  </si>
  <si>
    <t>migration_folio_713_COMPLETE.json</t>
  </si>
  <si>
    <t>F2182</t>
  </si>
  <si>
    <t>ITEM_0326146231</t>
  </si>
  <si>
    <t>ITEM_0326184231</t>
  </si>
  <si>
    <t>migration_folio_767_COMPLETE.json</t>
  </si>
  <si>
    <t>F2242</t>
  </si>
  <si>
    <t>migration_folio_553_COMPLETE.json</t>
  </si>
  <si>
    <t>F2055</t>
  </si>
  <si>
    <t>ITEM_0328065231</t>
  </si>
  <si>
    <t>migration_folio_613_COMPLETE.json</t>
  </si>
  <si>
    <t>F2054</t>
  </si>
  <si>
    <t>migration_folio_656_COMPLETE.json</t>
  </si>
  <si>
    <t>F2121</t>
  </si>
  <si>
    <t>ITEM_0334081231</t>
  </si>
  <si>
    <t>migration_folio_727_COMPLETE.json</t>
  </si>
  <si>
    <t>F2200</t>
  </si>
  <si>
    <t>ITEM_0401148231</t>
  </si>
  <si>
    <t>ALOE ACETYPOL ALOE ACETYPOL 10/15</t>
  </si>
  <si>
    <t>migration_folio_820_COMPLETE.json</t>
  </si>
  <si>
    <t>F2301</t>
  </si>
  <si>
    <t>ITEM_0402073241</t>
  </si>
  <si>
    <t>ITEM_0434046231</t>
  </si>
  <si>
    <t>ACETYPOL ALOE ACETYPOL 15/20</t>
  </si>
  <si>
    <t>ITEM_0466025231</t>
  </si>
  <si>
    <t>ITEM_0466047231</t>
  </si>
  <si>
    <t>ITEM_0466048251</t>
  </si>
  <si>
    <t>ALOE ACETYPOL ALOE ACETYPOL 20/25</t>
  </si>
  <si>
    <t>migration_folio_1048_COMPLETE.json</t>
  </si>
  <si>
    <t>F2531</t>
  </si>
  <si>
    <t>ITEM_0466063251</t>
  </si>
  <si>
    <t>migration_folio_1116_COMPLETE.json</t>
  </si>
  <si>
    <t>F2541</t>
  </si>
  <si>
    <t>ITEM_0466070251</t>
  </si>
  <si>
    <t>migration_folio_878_COMPLETE.json</t>
  </si>
  <si>
    <t>F2358</t>
  </si>
  <si>
    <t>ITEM_0466146241</t>
  </si>
  <si>
    <t>ITEM_0466149231</t>
  </si>
  <si>
    <t>migration_folio_731_COMPLETE.json</t>
  </si>
  <si>
    <t>F2205</t>
  </si>
  <si>
    <t>migration_folio_1143_COMPLETE.json</t>
  </si>
  <si>
    <t>F2633</t>
  </si>
  <si>
    <t>ITEM_0466174251</t>
  </si>
  <si>
    <t>migration_folio_987_COMPLETE.json</t>
  </si>
  <si>
    <t>F2470</t>
  </si>
  <si>
    <t>ITEM_0466254241</t>
  </si>
  <si>
    <t>ITEM_0466256241</t>
  </si>
  <si>
    <t>migration_folio_541_COMPLETE.json</t>
  </si>
  <si>
    <t>F2040</t>
  </si>
  <si>
    <t>ITEM_0502050231</t>
  </si>
  <si>
    <t>migration_folio_862_COMPLETE.json</t>
  </si>
  <si>
    <t>F2345</t>
  </si>
  <si>
    <t>ITEM_0502118241</t>
  </si>
  <si>
    <t>ALOE HIGHPOL ALOE HIGHPOL 10/15</t>
  </si>
  <si>
    <t>migration_folio_551_COMPLETE.json</t>
  </si>
  <si>
    <t>F2051</t>
  </si>
  <si>
    <t>ITEM_0518048231</t>
  </si>
  <si>
    <t>migration_folio_566_COMPLETE.json</t>
  </si>
  <si>
    <t>F2073</t>
  </si>
  <si>
    <t>migration_folio_1014_COMPLETE.json</t>
  </si>
  <si>
    <t>Pure Chemicals Co., Ltd.</t>
  </si>
  <si>
    <t>F2487</t>
  </si>
  <si>
    <t>ITEM_0601014251</t>
  </si>
  <si>
    <t>ALOE QX ALOE QX 5/95</t>
  </si>
  <si>
    <t>migration_folio_786_COMPLETE.json</t>
  </si>
  <si>
    <t>F2269</t>
  </si>
  <si>
    <t>ITEM_0601029241</t>
  </si>
  <si>
    <t>migration_folio_524_COMPLETE.json</t>
  </si>
  <si>
    <t>IMCD Philippines Corporation</t>
  </si>
  <si>
    <t>F2020</t>
  </si>
  <si>
    <t>ITEM_0601038231</t>
  </si>
  <si>
    <t>migration_folio_585_COMPLETE.json</t>
  </si>
  <si>
    <t>F2095</t>
  </si>
  <si>
    <t>ITEM_0601089231</t>
  </si>
  <si>
    <t>migration_folio_623_COMPLETE.json</t>
  </si>
  <si>
    <t>F2094</t>
  </si>
  <si>
    <t>migration_folio_1088_COMPLETE.json</t>
  </si>
  <si>
    <t>F2576</t>
  </si>
  <si>
    <t>ITEM_0601110251</t>
  </si>
  <si>
    <t>migration_folio_700_COMPLETE.json</t>
  </si>
  <si>
    <t>F2169</t>
  </si>
  <si>
    <t>ITEM_0601138231</t>
  </si>
  <si>
    <t>migration_folio_889_COMPLETE.json</t>
  </si>
  <si>
    <t>F2367</t>
  </si>
  <si>
    <t>ITEM_0601147241</t>
  </si>
  <si>
    <t>migration_folio_1159_COMPLETE.json</t>
  </si>
  <si>
    <t>F2650</t>
  </si>
  <si>
    <t>ITEM_0601170251</t>
  </si>
  <si>
    <t>migration_folio_1168_COMPLETE.json</t>
  </si>
  <si>
    <t>F2641</t>
  </si>
  <si>
    <t>migration_folio_758_COMPLETE.json</t>
  </si>
  <si>
    <t>F2233</t>
  </si>
  <si>
    <t>ITEM_0601186231</t>
  </si>
  <si>
    <t>migration_folio_969_COMPLETE.json</t>
  </si>
  <si>
    <t>F2440</t>
  </si>
  <si>
    <t>ITEM_0601216241</t>
  </si>
  <si>
    <t>migration_folio_991_COMPLETE.json</t>
  </si>
  <si>
    <t>F2477</t>
  </si>
  <si>
    <t>ITEM_0602004251</t>
  </si>
  <si>
    <t>ALOE QX ALOE QX 10/90</t>
  </si>
  <si>
    <t>migration_folio_1005_COMPLETE.json</t>
  </si>
  <si>
    <t>F2475</t>
  </si>
  <si>
    <t>migration_folio_996_COMPLETE.json</t>
  </si>
  <si>
    <t>F2485</t>
  </si>
  <si>
    <t>ITEM_0602011251</t>
  </si>
  <si>
    <t>migration_folio_770_COMPLETE.json</t>
  </si>
  <si>
    <t>F2250</t>
  </si>
  <si>
    <t>ITEM_0602014241</t>
  </si>
  <si>
    <t>migration_folio_773_COMPLETE.json</t>
  </si>
  <si>
    <t>F2253</t>
  </si>
  <si>
    <t>ITEM_0602015241</t>
  </si>
  <si>
    <t>migration_folio_784_COMPLETE.json</t>
  </si>
  <si>
    <t>F2267</t>
  </si>
  <si>
    <t>ITEM_0602016241</t>
  </si>
  <si>
    <t>migration_folio_1017_COMPLETE.json</t>
  </si>
  <si>
    <t>F2502</t>
  </si>
  <si>
    <t>ITEM_0602018251</t>
  </si>
  <si>
    <t>migration_folio_518_COMPLETE.json</t>
  </si>
  <si>
    <t>F2012</t>
  </si>
  <si>
    <t>ITEM_0602024231</t>
  </si>
  <si>
    <t>migration_folio_528_COMPLETE.json</t>
  </si>
  <si>
    <t>F2022</t>
  </si>
  <si>
    <t>ALOE QX 10/90</t>
  </si>
  <si>
    <t>migration_folio_577_COMPLETE.json</t>
  </si>
  <si>
    <t>F2088</t>
  </si>
  <si>
    <t>migration_folio_812_COMPLETE.json</t>
  </si>
  <si>
    <t>F2293</t>
  </si>
  <si>
    <t>ITEM_0602059241</t>
  </si>
  <si>
    <t>migration_folio_825_COMPLETE.json</t>
  </si>
  <si>
    <t>F2304</t>
  </si>
  <si>
    <t>ITEM_0602082241</t>
  </si>
  <si>
    <t>migration_folio_1073_COMPLETE.json</t>
  </si>
  <si>
    <t>F2555</t>
  </si>
  <si>
    <t>ITEM_0602093251</t>
  </si>
  <si>
    <t>migration_folio_680_COMPLETE.json</t>
  </si>
  <si>
    <t>F2147</t>
  </si>
  <si>
    <t>ITEM_0602098231</t>
  </si>
  <si>
    <t>migration_folio_1070_COMPLETE.json</t>
  </si>
  <si>
    <t>F2552</t>
  </si>
  <si>
    <t>ITEM_0602098251</t>
  </si>
  <si>
    <t>migration_folio_1083_COMPLETE.json</t>
  </si>
  <si>
    <t>F2565</t>
  </si>
  <si>
    <t>ITEM_0602101251</t>
  </si>
  <si>
    <t>migration_folio_1101_COMPLETE.json</t>
  </si>
  <si>
    <t>F2592</t>
  </si>
  <si>
    <t>ITEM_0602124251</t>
  </si>
  <si>
    <t>migration_folio_927_COMPLETE.json</t>
  </si>
  <si>
    <t>F2385</t>
  </si>
  <si>
    <t>ITEM_0602133241</t>
  </si>
  <si>
    <t>migration_folio_909_COMPLETE.json</t>
  </si>
  <si>
    <t>F2389</t>
  </si>
  <si>
    <t>ITEM_0602142241</t>
  </si>
  <si>
    <t>migration_folio_923_COMPLETE.json</t>
  </si>
  <si>
    <t>F2404</t>
  </si>
  <si>
    <t>migration_folio_1146_COMPLETE.json</t>
  </si>
  <si>
    <t>F2616</t>
  </si>
  <si>
    <t>ITEM_0602150251</t>
  </si>
  <si>
    <t>migration_folio_734_COMPLETE.json</t>
  </si>
  <si>
    <t>F2209</t>
  </si>
  <si>
    <t>ITEM_0602157231</t>
  </si>
  <si>
    <t>migration_folio_743_COMPLETE.json</t>
  </si>
  <si>
    <t>F2218</t>
  </si>
  <si>
    <t>ITEM_0602175231</t>
  </si>
  <si>
    <t>migration_folio_755_COMPLETE.json</t>
  </si>
  <si>
    <t>F2230</t>
  </si>
  <si>
    <t>ITEM_0602183231</t>
  </si>
  <si>
    <t>migration_folio_952_COMPLETE.json</t>
  </si>
  <si>
    <t>F2434</t>
  </si>
  <si>
    <t>ITEM_0602217241</t>
  </si>
  <si>
    <t>migration_folio_557_COMPLETE.json</t>
  </si>
  <si>
    <t>F2059</t>
  </si>
  <si>
    <t>ITEM_0603071231</t>
  </si>
  <si>
    <t>ALOE QX ALOE QX 15/85</t>
  </si>
  <si>
    <t>migration_folio_571_COMPLETE.json</t>
  </si>
  <si>
    <t>F2077</t>
  </si>
  <si>
    <t>ITEM_0603077231</t>
  </si>
  <si>
    <t>migration_folio_591_COMPLETE.json</t>
  </si>
  <si>
    <t>HARRIS &amp; FORD, LLC</t>
  </si>
  <si>
    <t>F2104</t>
  </si>
  <si>
    <t>ITEM_0603088231</t>
  </si>
  <si>
    <t>migration_folio_597_COMPLETE.json</t>
  </si>
  <si>
    <t>F2109</t>
  </si>
  <si>
    <t>ITEM_0603094231</t>
  </si>
  <si>
    <t>migration_folio_624_COMPLETE.json</t>
  </si>
  <si>
    <t>F2107</t>
  </si>
  <si>
    <t>migration_folio_625_COMPLETE.json</t>
  </si>
  <si>
    <t>F2108</t>
  </si>
  <si>
    <t>migration_folio_664_COMPLETE.json</t>
  </si>
  <si>
    <t>F2129</t>
  </si>
  <si>
    <t>ITEM_0603111231</t>
  </si>
  <si>
    <t>migration_folio_527_COMPLETE.json</t>
  </si>
  <si>
    <t>F2018</t>
  </si>
  <si>
    <t>ITEM_0605037231</t>
  </si>
  <si>
    <t>ALOE QX 30/70</t>
  </si>
  <si>
    <t>migration_folio_545_COMPLETE.json</t>
  </si>
  <si>
    <t>F2044</t>
  </si>
  <si>
    <t>ITEM_0605061231</t>
  </si>
  <si>
    <t>migration_folio_831_COMPLETE.json</t>
  </si>
  <si>
    <t>F2312</t>
  </si>
  <si>
    <t>ITEM_0605092241</t>
  </si>
  <si>
    <t>ALOE QX ALOE QX 30/70</t>
  </si>
  <si>
    <t>migration_folio_847_COMPLETE.json</t>
  </si>
  <si>
    <t>F2328</t>
  </si>
  <si>
    <t>ITEM_0605119241</t>
  </si>
  <si>
    <t>migration_folio_678_COMPLETE.json</t>
  </si>
  <si>
    <t>F2145</t>
  </si>
  <si>
    <t>ITEM_0605124231</t>
  </si>
  <si>
    <t>migration_folio_693_COMPLETE.json</t>
  </si>
  <si>
    <t>F2160</t>
  </si>
  <si>
    <t>ITEM_0605129231</t>
  </si>
  <si>
    <t>migration_folio_898_COMPLETE.json</t>
  </si>
  <si>
    <t>F2378</t>
  </si>
  <si>
    <t>ITEM_0605161241</t>
  </si>
  <si>
    <t>migration_folio_737_COMPLETE.json</t>
  </si>
  <si>
    <t>F2212</t>
  </si>
  <si>
    <t>ITEM_0605174231</t>
  </si>
  <si>
    <t>migration_folio_910_COMPLETE.json</t>
  </si>
  <si>
    <t>F2392</t>
  </si>
  <si>
    <t>ITEM_0605177241</t>
  </si>
  <si>
    <t>migration_folio_749_COMPLETE.json</t>
  </si>
  <si>
    <t>F2225</t>
  </si>
  <si>
    <t>ITEM_0605182231</t>
  </si>
  <si>
    <t>migration_folio_943_COMPLETE.json</t>
  </si>
  <si>
    <t>F2421</t>
  </si>
  <si>
    <t>ITEM_0605206241</t>
  </si>
  <si>
    <t>migration_folio_958_COMPLETE.json</t>
  </si>
  <si>
    <t>F2438</t>
  </si>
  <si>
    <t>ITEM_0605228241</t>
  </si>
  <si>
    <t>migration_folio_785_COMPLETE.json</t>
  </si>
  <si>
    <t>F2268</t>
  </si>
  <si>
    <t>ITEM_0606033241</t>
  </si>
  <si>
    <t>ALOE QX ALOE QX 40/60</t>
  </si>
  <si>
    <t>migration_folio_778_COMPLETE.json</t>
  </si>
  <si>
    <t>F2260</t>
  </si>
  <si>
    <t>ITEM_0607010241</t>
  </si>
  <si>
    <t>ALOE QX ALOE QX 50/50</t>
  </si>
  <si>
    <t>migration_folio_993_COMPLETE.json</t>
  </si>
  <si>
    <t>F2496</t>
  </si>
  <si>
    <t>ITEM_0607012251</t>
  </si>
  <si>
    <t>migration_folio_1006_COMPLETE.json</t>
  </si>
  <si>
    <t>F2481</t>
  </si>
  <si>
    <t>migration_folio_769_COMPLETE.json</t>
  </si>
  <si>
    <t>COSMETILAB 18</t>
  </si>
  <si>
    <t>F2245</t>
  </si>
  <si>
    <t>ITEM_0607013241</t>
  </si>
  <si>
    <t>migration_folio_824_COMPLETE.json</t>
  </si>
  <si>
    <t>migration_folio_788_COMPLETE.json</t>
  </si>
  <si>
    <t>F2271</t>
  </si>
  <si>
    <t>ITEM_0607032241</t>
  </si>
  <si>
    <t>migration_folio_1033_COMPLETE.json</t>
  </si>
  <si>
    <t>F2516</t>
  </si>
  <si>
    <t>ITEM_0607044251</t>
  </si>
  <si>
    <t>migration_folio_801_COMPLETE.json</t>
  </si>
  <si>
    <t>F2281</t>
  </si>
  <si>
    <t>ITEM_0607052241</t>
  </si>
  <si>
    <t>migration_folio_544_COMPLETE.json</t>
  </si>
  <si>
    <t>F2043</t>
  </si>
  <si>
    <t>ITEM_0607059231</t>
  </si>
  <si>
    <t>migration_folio_828_COMPLETE.json</t>
  </si>
  <si>
    <t>F2307</t>
  </si>
  <si>
    <t>ITEM_0607083241</t>
  </si>
  <si>
    <t>migration_folio_599_COMPLETE.json</t>
  </si>
  <si>
    <t>F2114</t>
  </si>
  <si>
    <t>ITEM_0607103231</t>
  </si>
  <si>
    <t>migration_folio_600_COMPLETE.json</t>
  </si>
  <si>
    <t>F2115</t>
  </si>
  <si>
    <t>migration_folio_863_COMPLETE.json</t>
  </si>
  <si>
    <t>F2346</t>
  </si>
  <si>
    <t>ITEM_0607122241</t>
  </si>
  <si>
    <t>ALOE QX ALOE 72% + GOMA BB 28%</t>
  </si>
  <si>
    <t>migration_folio_716_COMPLETE.json</t>
  </si>
  <si>
    <t>F2185</t>
  </si>
  <si>
    <t>ITEM_0607144231</t>
  </si>
  <si>
    <t>migration_folio_717_COMPLETE.json</t>
  </si>
  <si>
    <t>F2186</t>
  </si>
  <si>
    <t>ITEM_0607145231</t>
  </si>
  <si>
    <t>migration_folio_934_COMPLETE.json</t>
  </si>
  <si>
    <t>F2408</t>
  </si>
  <si>
    <t>ITEM_0607160241</t>
  </si>
  <si>
    <t>migration_folio_728_COMPLETE.json</t>
  </si>
  <si>
    <t>F2203</t>
  </si>
  <si>
    <t>ITEM_0607163231</t>
  </si>
  <si>
    <t>migration_folio_1136_COMPLETE.json</t>
  </si>
  <si>
    <t>F2625</t>
  </si>
  <si>
    <t>ITEM_0607164251</t>
  </si>
  <si>
    <t>migration_folio_1147_COMPLETE.json</t>
  </si>
  <si>
    <t>F2629</t>
  </si>
  <si>
    <t>ITEM_0607167251</t>
  </si>
  <si>
    <t>migration_folio_948_COMPLETE.json</t>
  </si>
  <si>
    <t>F2428</t>
  </si>
  <si>
    <t>ITEM_0607219241</t>
  </si>
  <si>
    <t>migration_folio_762_COMPLETE.json</t>
  </si>
  <si>
    <t>F2237</t>
  </si>
  <si>
    <t>ITEM_0608004241</t>
  </si>
  <si>
    <t>ALOE QX ALOE QX 60/40</t>
  </si>
  <si>
    <t>migration_folio_543_COMPLETE.json</t>
  </si>
  <si>
    <t>F2042</t>
  </si>
  <si>
    <t>ITEM_0608055231</t>
  </si>
  <si>
    <t>migration_folio_816_COMPLETE.json</t>
  </si>
  <si>
    <t>F2296</t>
  </si>
  <si>
    <t>ITEM_0608071241</t>
  </si>
  <si>
    <t>migration_folio_581_COMPLETE.json</t>
  </si>
  <si>
    <t>F2092</t>
  </si>
  <si>
    <t>ITEM_0608084231</t>
  </si>
  <si>
    <t>migration_folio_851_COMPLETE.json</t>
  </si>
  <si>
    <t>AJEMEX /PLNTA PUEBLA</t>
  </si>
  <si>
    <t>F2331</t>
  </si>
  <si>
    <t>ITEM_0608100241</t>
  </si>
  <si>
    <t>migration_folio_864_COMPLETE.json</t>
  </si>
  <si>
    <t>F2344</t>
  </si>
  <si>
    <t>migration_folio_876_COMPLETE.json</t>
  </si>
  <si>
    <t>F2356</t>
  </si>
  <si>
    <t>migration_folio_660_COMPLETE.json</t>
  </si>
  <si>
    <t>F2125</t>
  </si>
  <si>
    <t>ITEM_0608112231</t>
  </si>
  <si>
    <t>migration_folio_665_COMPLETE.json</t>
  </si>
  <si>
    <t>F2130</t>
  </si>
  <si>
    <t>migration_folio_1089_COMPLETE.json</t>
  </si>
  <si>
    <t>AJE PANAMA</t>
  </si>
  <si>
    <t>F2578</t>
  </si>
  <si>
    <t>ITEM_0608118251</t>
  </si>
  <si>
    <t>migration_folio_1090_COMPLETE.json</t>
  </si>
  <si>
    <t>F2580</t>
  </si>
  <si>
    <t>migration_folio_1103_COMPLETE.json</t>
  </si>
  <si>
    <t>F2595</t>
  </si>
  <si>
    <t>migration_folio_679_COMPLETE.json</t>
  </si>
  <si>
    <t>F2146</t>
  </si>
  <si>
    <t>ITEM_0608122231</t>
  </si>
  <si>
    <t>migration_folio_699_COMPLETE.json</t>
  </si>
  <si>
    <t>F2168</t>
  </si>
  <si>
    <t>migration_folio_707_COMPLETE.json</t>
  </si>
  <si>
    <t>F2179</t>
  </si>
  <si>
    <t>migration_folio_1149_COMPLETE.json</t>
  </si>
  <si>
    <t>F2636</t>
  </si>
  <si>
    <t>ITEM_0608143251</t>
  </si>
  <si>
    <t>migration_folio_892_COMPLETE.json</t>
  </si>
  <si>
    <t>F2371</t>
  </si>
  <si>
    <t>ITEM_0608156241</t>
  </si>
  <si>
    <t>migration_folio_893_COMPLETE.json</t>
  </si>
  <si>
    <t>F2372</t>
  </si>
  <si>
    <t>migration_folio_896_COMPLETE.json</t>
  </si>
  <si>
    <t>F2375</t>
  </si>
  <si>
    <t>migration_folio_906_COMPLETE.json</t>
  </si>
  <si>
    <t>F2388</t>
  </si>
  <si>
    <t>migration_folio_919_COMPLETE.json</t>
  </si>
  <si>
    <t>F2400</t>
  </si>
  <si>
    <t>ITEM_0608188241</t>
  </si>
  <si>
    <t>migration_folio_920_COMPLETE.json</t>
  </si>
  <si>
    <t>F2401</t>
  </si>
  <si>
    <t>migration_folio_944_COMPLETE.json</t>
  </si>
  <si>
    <t>F2423</t>
  </si>
  <si>
    <t>migration_folio_945_COMPLETE.json</t>
  </si>
  <si>
    <t>F2424</t>
  </si>
  <si>
    <t>migration_folio_977_COMPLETE.json</t>
  </si>
  <si>
    <t>F2450</t>
  </si>
  <si>
    <t>ITEM_0608211241</t>
  </si>
  <si>
    <t>ALOE QX 60/40</t>
  </si>
  <si>
    <t>migration_folio_1049_COMPLETE.json</t>
  </si>
  <si>
    <t>F2532</t>
  </si>
  <si>
    <t>migration_folio_1065_COMPLETE.json</t>
  </si>
  <si>
    <t>F2547</t>
  </si>
  <si>
    <t>migration_folio_1130_COMPLETE.json</t>
  </si>
  <si>
    <t>F2619</t>
  </si>
  <si>
    <t>migration_folio_1076_COMPLETE.json</t>
  </si>
  <si>
    <t>F2558</t>
  </si>
  <si>
    <t>ITEM_0608250241</t>
  </si>
  <si>
    <t>migration_folio_1118_COMPLETE.json</t>
  </si>
  <si>
    <t>F2571</t>
  </si>
  <si>
    <t>migration_folio_1119_COMPLETE.json</t>
  </si>
  <si>
    <t>F2577</t>
  </si>
  <si>
    <t>migration_folio_1120_COMPLETE.json</t>
  </si>
  <si>
    <t>F2579</t>
  </si>
  <si>
    <t>migration_folio_1024_COMPLETE.json</t>
  </si>
  <si>
    <t>F2500</t>
  </si>
  <si>
    <t>ITEM_0609025251</t>
  </si>
  <si>
    <t>ALOE QX ALOE QX 70/30</t>
  </si>
  <si>
    <t>migration_folio_565_COMPLETE.json</t>
  </si>
  <si>
    <t>F2062</t>
  </si>
  <si>
    <t>ITEM_0609067231</t>
  </si>
  <si>
    <t>migration_folio_871_COMPLETE.json</t>
  </si>
  <si>
    <t>F2337</t>
  </si>
  <si>
    <t>ITEM_0609084241</t>
  </si>
  <si>
    <t>migration_folio_830_COMPLETE.json</t>
  </si>
  <si>
    <t>F2311</t>
  </si>
  <si>
    <t>ITEM_0609091241</t>
  </si>
  <si>
    <t>migration_folio_627_COMPLETE.json</t>
  </si>
  <si>
    <t>F2112</t>
  </si>
  <si>
    <t>ITEM_0609093231</t>
  </si>
  <si>
    <t>migration_folio_596_COMPLETE.json</t>
  </si>
  <si>
    <t>F2110</t>
  </si>
  <si>
    <t>ITEM_0609095231</t>
  </si>
  <si>
    <t>migration_folio_1121_COMPLETE.json</t>
  </si>
  <si>
    <t>F2608</t>
  </si>
  <si>
    <t>ITEM_0609106251</t>
  </si>
  <si>
    <t>migration_folio_658_COMPLETE.json</t>
  </si>
  <si>
    <t>F2123</t>
  </si>
  <si>
    <t>ITEM_0609109231</t>
  </si>
  <si>
    <t>migration_folio_720_COMPLETE.json</t>
  </si>
  <si>
    <t>F2189</t>
  </si>
  <si>
    <t>ITEM_0609141231</t>
  </si>
  <si>
    <t>migration_folio_711_COMPLETE.json</t>
  </si>
  <si>
    <t>F2180</t>
  </si>
  <si>
    <t>ITEM_0609143231</t>
  </si>
  <si>
    <t>migration_folio_1126_COMPLETE.json</t>
  </si>
  <si>
    <t>F2617</t>
  </si>
  <si>
    <t>ITEM_0609152251</t>
  </si>
  <si>
    <t>migration_folio_1140_COMPLETE.json</t>
  </si>
  <si>
    <t>F2630</t>
  </si>
  <si>
    <t>migration_folio_926_COMPLETE.json</t>
  </si>
  <si>
    <t>BRENNTAG AUSTRALIA  ePTY LTD</t>
  </si>
  <si>
    <t>F2399</t>
  </si>
  <si>
    <t>ITEM_0609180241</t>
  </si>
  <si>
    <t>migration_folio_1158_COMPLETE.json</t>
  </si>
  <si>
    <t>F2645</t>
  </si>
  <si>
    <t>ITEM_0609186251</t>
  </si>
  <si>
    <t>migration_folio_1156_COMPLETE.json</t>
  </si>
  <si>
    <t>F2648</t>
  </si>
  <si>
    <t>ITEM_0609192251</t>
  </si>
  <si>
    <t>migration_folio_963_COMPLETE.json</t>
  </si>
  <si>
    <t>F2443</t>
  </si>
  <si>
    <t>ITEM_0609212241</t>
  </si>
  <si>
    <t>migration_folio_976_COMPLETE.json</t>
  </si>
  <si>
    <t>migration_folio_956_COMPLETE.json</t>
  </si>
  <si>
    <t>F2435</t>
  </si>
  <si>
    <t>ITEM_0609218241</t>
  </si>
  <si>
    <t>migration_folio_960_COMPLETE.json</t>
  </si>
  <si>
    <t>F2429</t>
  </si>
  <si>
    <t>migration_folio_964_COMPLETE.json</t>
  </si>
  <si>
    <t>F2444</t>
  </si>
  <si>
    <t>ITEM_0609227241</t>
  </si>
  <si>
    <t>migration_folio_760_COMPLETE.json</t>
  </si>
  <si>
    <t>F2235</t>
  </si>
  <si>
    <t>ITEM_0612002241</t>
  </si>
  <si>
    <t>ALOE QX ALOE 70%+ GOMA BB 30%</t>
  </si>
  <si>
    <t>migration_folio_764_COMPLETE.json</t>
  </si>
  <si>
    <t>F2239</t>
  </si>
  <si>
    <t>migration_folio_765_COMPLETE.json</t>
  </si>
  <si>
    <t>F2240</t>
  </si>
  <si>
    <t>ITEM_0612006241</t>
  </si>
  <si>
    <t>migration_folio_995_COMPLETE.json</t>
  </si>
  <si>
    <t>F2484</t>
  </si>
  <si>
    <t>ITEM_0612013251</t>
  </si>
  <si>
    <t>ALOE VERA 70% + GOMA BB 30%</t>
  </si>
  <si>
    <t>migration_folio_776_COMPLETE.json</t>
  </si>
  <si>
    <t>F2256</t>
  </si>
  <si>
    <t>ITEM_0612017241</t>
  </si>
  <si>
    <t>migration_folio_774_COMPLETE.json</t>
  </si>
  <si>
    <t>F2254</t>
  </si>
  <si>
    <t>ITEM_0612018241</t>
  </si>
  <si>
    <t>migration_folio_771_COMPLETE.json</t>
  </si>
  <si>
    <t>F2251</t>
  </si>
  <si>
    <t>ITEM_0612019241</t>
  </si>
  <si>
    <t>migration_folio_805_COMPLETE.json</t>
  </si>
  <si>
    <t>F2286</t>
  </si>
  <si>
    <t>ITEM_0612057241</t>
  </si>
  <si>
    <t>migration_folio_563_COMPLETE.json</t>
  </si>
  <si>
    <t>F2070</t>
  </si>
  <si>
    <t>ITEM_0612074231</t>
  </si>
  <si>
    <t>migration_folio_569_COMPLETE.json</t>
  </si>
  <si>
    <t>F2072</t>
  </si>
  <si>
    <t>ITEM_0612079231</t>
  </si>
  <si>
    <t>migration_folio_916_COMPLETE.json</t>
  </si>
  <si>
    <t>F2396</t>
  </si>
  <si>
    <t>ITEM_0612099241</t>
  </si>
  <si>
    <t>migration_folio_879_COMPLETE.json</t>
  </si>
  <si>
    <t>F2360</t>
  </si>
  <si>
    <t>ITEM_0612109241</t>
  </si>
  <si>
    <t>migration_folio_942_COMPLETE.json</t>
  </si>
  <si>
    <t>F2420</t>
  </si>
  <si>
    <t>migration_folio_684_COMPLETE.json</t>
  </si>
  <si>
    <t>F2151</t>
  </si>
  <si>
    <t>ITEM_0612123231</t>
  </si>
  <si>
    <t>migration_folio_1095_COMPLETE.json</t>
  </si>
  <si>
    <t>F2586</t>
  </si>
  <si>
    <t>ITEM_0612123251</t>
  </si>
  <si>
    <t>migration_folio_685_COMPLETE.json</t>
  </si>
  <si>
    <t>F2152</t>
  </si>
  <si>
    <t>ITEM_0612126231</t>
  </si>
  <si>
    <t>migration_folio_890_COMPLETE.json</t>
  </si>
  <si>
    <t>F2368</t>
  </si>
  <si>
    <t>ITEM_0612150241</t>
  </si>
  <si>
    <t>migration_folio_1144_COMPLETE.json</t>
  </si>
  <si>
    <t>F2635</t>
  </si>
  <si>
    <t>ITEM_0612168251</t>
  </si>
  <si>
    <t>migration_folio_747_COMPLETE.json</t>
  </si>
  <si>
    <t>F2222</t>
  </si>
  <si>
    <t>ITEM_0612176231</t>
  </si>
  <si>
    <t>migration_folio_914_COMPLETE.json</t>
  </si>
  <si>
    <t>F2394</t>
  </si>
  <si>
    <t>ITEM_0612181241</t>
  </si>
  <si>
    <t>migration_folio</t>
  </si>
  <si>
    <t>folio</t>
  </si>
  <si>
    <t>customer_name</t>
  </si>
  <si>
    <t>invoice_number</t>
  </si>
  <si>
    <t>lote_real</t>
  </si>
  <si>
    <t>ITEM-[lote_real]</t>
  </si>
  <si>
    <t>item_name</t>
  </si>
  <si>
    <t>quantity</t>
  </si>
  <si>
    <t xml:space="preserve">ENTRADA </t>
  </si>
  <si>
    <t>price_unit</t>
  </si>
  <si>
    <t>total_amount</t>
  </si>
  <si>
    <t>file_original</t>
  </si>
  <si>
    <t>renamed_file</t>
  </si>
  <si>
    <t>migration_folio_752_COMPLETE.json</t>
  </si>
  <si>
    <t>F2227</t>
  </si>
  <si>
    <t>ITEM_0612185231</t>
  </si>
  <si>
    <t>519721.pdf; 520237.pdf; 520237_Agromayal-Botanica-SA-DE-C-Delivery-address_05-01-26.pdf</t>
  </si>
  <si>
    <t>519721-LEGOSAN-07-12-2023.pdf; 520237-LEGOSAN-27-08-2024.pdf</t>
  </si>
  <si>
    <t>migration_folio_1161_COMPLETE.json</t>
  </si>
  <si>
    <t>F2652</t>
  </si>
  <si>
    <t>ITEM_0612199251</t>
  </si>
  <si>
    <t>117826 - PO.pdf</t>
  </si>
  <si>
    <t>117826-BARENTZ-20240101.pdf</t>
  </si>
  <si>
    <t>migration_folio_938_COMPLETE.json</t>
  </si>
  <si>
    <t>F2417</t>
  </si>
  <si>
    <t>ITEM_0612200241</t>
  </si>
  <si>
    <t>2249500221.pdf</t>
  </si>
  <si>
    <t>2249500221-BARENTZ-20240101.pdf</t>
  </si>
  <si>
    <t>migration_folio_939_COMPLETE.json</t>
  </si>
  <si>
    <t>2249500586.pdf</t>
  </si>
  <si>
    <t>2249500586-BARENTZ-20240101.pdf</t>
  </si>
  <si>
    <t>migration_folio_950_COMPLETE.json</t>
  </si>
  <si>
    <t>F2431</t>
  </si>
  <si>
    <t>ITEM_0612215241</t>
  </si>
  <si>
    <t>2249500698.pdf</t>
  </si>
  <si>
    <t>2249500698-BARENTZ-20240101.pdf</t>
  </si>
  <si>
    <t>migration_folio_913_COMPLETE.json</t>
  </si>
  <si>
    <t>F2386</t>
  </si>
  <si>
    <t>ITEM_0613164241</t>
  </si>
  <si>
    <t>ALOE QX ALOE 80% + GOMA BB 20%</t>
  </si>
  <si>
    <t>2249500730.pdf</t>
  </si>
  <si>
    <t>2249500730-BARENTZ-20240101.pdf</t>
  </si>
  <si>
    <t>migration_folio_912_COMPLETE.json</t>
  </si>
  <si>
    <t>F2393</t>
  </si>
  <si>
    <t>ITEM_0614169241</t>
  </si>
  <si>
    <t>ALOE QX ALOE 85% + GOMA BB 15%</t>
  </si>
  <si>
    <t>PO-2243500849_20240904095847.pdf</t>
  </si>
  <si>
    <t>2243500849-BARENTZ-20240904.pdf</t>
  </si>
  <si>
    <t>migration_folio_1047_COMPLETE.json</t>
  </si>
  <si>
    <t>F2529</t>
  </si>
  <si>
    <t>ITEM_0615050251</t>
  </si>
  <si>
    <t>ALOE QX ALOE 90% + GOMA BB 10%</t>
  </si>
  <si>
    <t>PO-2243500872_20240923111139.pdf</t>
  </si>
  <si>
    <t>2243500872-BARENTZ-20240923.pdf</t>
  </si>
  <si>
    <t>migration_folio_1067_COMPLETE.json</t>
  </si>
  <si>
    <t>F2549</t>
  </si>
  <si>
    <t>PO-2243500893_20240918164744.pdf</t>
  </si>
  <si>
    <t>2243500893-BARENTZ-20240918.pdf</t>
  </si>
  <si>
    <t>migration_folio_723_COMPLETE.json</t>
  </si>
  <si>
    <t>F2193</t>
  </si>
  <si>
    <t>ITEM_0615160231</t>
  </si>
  <si>
    <t>PurchaseOrder_UK-PO-000671_ID_0415-002726.pdf</t>
  </si>
  <si>
    <t>UK-PO-000671-Barentz UK Ltd-10-10-2024.pdf</t>
  </si>
  <si>
    <t>migration_folio_899_COMPLETE.json</t>
  </si>
  <si>
    <t>F2379</t>
  </si>
  <si>
    <t>ITEM_0615162241</t>
  </si>
  <si>
    <t>PURCHASE ORDER 059497.pdf</t>
  </si>
  <si>
    <t>059497-LABORATOIRES DELON-08-05-2024.pdf</t>
  </si>
  <si>
    <t>migration_folio_900_COMPLETE.json</t>
  </si>
  <si>
    <t>F2380</t>
  </si>
  <si>
    <t>059497-AMB_WELLNESS-20240508.pdf</t>
  </si>
  <si>
    <t>migration_folio_908_COMPLETE.json</t>
  </si>
  <si>
    <t>F2391</t>
  </si>
  <si>
    <t>ITEM_0615170241</t>
  </si>
  <si>
    <t>AMW240001LEU.pdf</t>
  </si>
  <si>
    <t>AMW240001LEU-UNION_CHEMICAL-20240304.pdf</t>
  </si>
  <si>
    <t>migration_folio_907_COMPLETE.json</t>
  </si>
  <si>
    <t>F2390</t>
  </si>
  <si>
    <t>ITEM_0615178241</t>
  </si>
  <si>
    <t>PO_604_11541_0_US.pdf</t>
  </si>
  <si>
    <t>11541-BRENNTAG_ME-20240101.pdf</t>
  </si>
  <si>
    <t>migration_folio_753_COMPLETE.json</t>
  </si>
  <si>
    <t>F2228</t>
  </si>
  <si>
    <t>ITEM_0615181231</t>
  </si>
  <si>
    <t>20241105_170358.pdf</t>
  </si>
  <si>
    <t>2410059-GREENTECH-10-07-2024.pdf</t>
  </si>
  <si>
    <t>migration_folio_1062_COMPLETE.json</t>
  </si>
  <si>
    <t>F2545</t>
  </si>
  <si>
    <t>ITEM_0616006251</t>
  </si>
  <si>
    <t>ALOE QX ALOE QX 25/75</t>
  </si>
  <si>
    <t>PO-15-01-2024-Calipso_s.r.l.pdf</t>
  </si>
  <si>
    <t>3243500124-CALIPSO-20240115.pdf</t>
  </si>
  <si>
    <t>migration_folio_792_COMPLETE.json</t>
  </si>
  <si>
    <t>F2265</t>
  </si>
  <si>
    <t>ITEM_0616030241</t>
  </si>
  <si>
    <t>migration_folio_811_COMPLETE.json</t>
  </si>
  <si>
    <t>F2292</t>
  </si>
  <si>
    <t>ITEM_0616046241</t>
  </si>
  <si>
    <t>migration_folio_840_COMPLETE.json</t>
  </si>
  <si>
    <t>F2320</t>
  </si>
  <si>
    <t>migration_folio_570_COMPLETE.json</t>
  </si>
  <si>
    <t>F2076</t>
  </si>
  <si>
    <t>ITEM_0616075231</t>
  </si>
  <si>
    <t>migration_folio_653_COMPLETE.json</t>
  </si>
  <si>
    <t>F2119</t>
  </si>
  <si>
    <t>ITEM_0616105231</t>
  </si>
  <si>
    <t>migration_folio_1117_COMPLETE.json</t>
  </si>
  <si>
    <t>F2567</t>
  </si>
  <si>
    <t>ITEM_0616105251</t>
  </si>
  <si>
    <t>migration_folio_1122_COMPLETE.json</t>
  </si>
  <si>
    <t>F2611</t>
  </si>
  <si>
    <t>migration_folio_883_COMPLETE.json</t>
  </si>
  <si>
    <t>F2357</t>
  </si>
  <si>
    <t>ITEM_0616110241</t>
  </si>
  <si>
    <t>migration_folio_903_COMPLETE.json</t>
  </si>
  <si>
    <t>F2384</t>
  </si>
  <si>
    <t>migration_folio_696_COMPLETE.json</t>
  </si>
  <si>
    <t>F2165</t>
  </si>
  <si>
    <t>ITEM_0616128231</t>
  </si>
  <si>
    <t>migration_folio_714_COMPLETE.json</t>
  </si>
  <si>
    <t>F2183</t>
  </si>
  <si>
    <t>ITEM_0616147231</t>
  </si>
  <si>
    <t>migration_folio_754_COMPLETE.json</t>
  </si>
  <si>
    <t>F2229</t>
  </si>
  <si>
    <t>migration_folio_933_COMPLETE.json</t>
  </si>
  <si>
    <t>F2415</t>
  </si>
  <si>
    <t>ITEM_0616158241</t>
  </si>
  <si>
    <t>migration_folio_974_COMPLETE.json</t>
  </si>
  <si>
    <t>F2456</t>
  </si>
  <si>
    <t>ITEM_0616195241</t>
  </si>
  <si>
    <t>migration_folio_982_COMPLETE.json</t>
  </si>
  <si>
    <t>F2454</t>
  </si>
  <si>
    <t>migration_folio_998_COMPLETE.json</t>
  </si>
  <si>
    <t>F2488</t>
  </si>
  <si>
    <t>ITEM_0616232241</t>
  </si>
  <si>
    <t>migration_folio_499_COMPLETE.json</t>
  </si>
  <si>
    <t>F1990</t>
  </si>
  <si>
    <t>ITEM_0617027231</t>
  </si>
  <si>
    <t>134702.pdf; 135427.pdf; 136195.pdf; 136418.pdf; 136571.pdf; 136847.pdf; 137096.pdf</t>
  </si>
  <si>
    <t>134702-AJEMEX-27-12-2023.pdf; 135427-AJEMEX-06-03-2024.pdf; 136195-AJEMEX-27-05-2024.pdf; 136418-AJEMEX-18-06-2024.pdf; 136571-AJEMEX-03-07-2024.pdf; 136847-AJEMEX-01-08-2024.pdf; 137096-AJEMEX-27-08-2024.pdf</t>
  </si>
  <si>
    <t>migration_folio_500_COMPLETE.json</t>
  </si>
  <si>
    <t>F1991</t>
  </si>
  <si>
    <t>migration_folio_502_COMPLETE.json</t>
  </si>
  <si>
    <t>F1992</t>
  </si>
  <si>
    <t>4500517803_DATA-DE-EMISSÃO-11072024COMPANHIA-PROVIDÊNCIA-INDÚ_05-01-26.pdf</t>
  </si>
  <si>
    <t>4500517803-COMPANHIA_PROVIDENCIA-20240711.pdf</t>
  </si>
  <si>
    <t>migration_folio_503_COMPLETE.json</t>
  </si>
  <si>
    <t>F1986</t>
  </si>
  <si>
    <t>11311_EL-ALAMO-EXPORT_31-05-24.pdf; 2024-52393-55592.pdf</t>
  </si>
  <si>
    <t>11311-EL ALAMO EXPORT S.A.C.-31-05-2024.pdf; 506403-EL ALAMO EXPORT-12-10-2024.pdf</t>
  </si>
  <si>
    <t>migration_folio_510_COMPLETE.json</t>
  </si>
  <si>
    <t>F2001</t>
  </si>
  <si>
    <t>migration_folio_519_COMPLETE.json</t>
  </si>
  <si>
    <t>F2013</t>
  </si>
  <si>
    <t>ITEM_0632203241</t>
  </si>
  <si>
    <t>migration_folio_957_COMPLETE.json</t>
  </si>
  <si>
    <t>F2437</t>
  </si>
  <si>
    <t>ITEM_0633229241</t>
  </si>
  <si>
    <t>10_AGROMAYAL-BOT_05-01-26_v1.pdf</t>
  </si>
  <si>
    <t>12356-BRENNTAG_ME-20240101.pdf</t>
  </si>
  <si>
    <t>ITEM_0637009241</t>
  </si>
  <si>
    <t>77% ALOE VERA + 23% DE GOMA BB</t>
  </si>
  <si>
    <t>migration_folio_766_COMPLETE.json</t>
  </si>
  <si>
    <t>F2241</t>
  </si>
  <si>
    <t>ITEM_0637011241</t>
  </si>
  <si>
    <t>4500306631_digital-invoices-to-accountingdealbaadcom_05-01-26.pdf</t>
  </si>
  <si>
    <t>4500306631-ALBAAD_DEUTSCHLAND-20240327.pdf</t>
  </si>
  <si>
    <t>migration_folio_768_COMPLETE.json</t>
  </si>
  <si>
    <t>CEMSA</t>
  </si>
  <si>
    <t>F2244</t>
  </si>
  <si>
    <t>ITEM_0637012241</t>
  </si>
  <si>
    <t>Formato_CEMSA_Pedido_Compras_CP_001_240046.pdf</t>
  </si>
  <si>
    <t>240046-CEMSA-20240118.pdf</t>
  </si>
  <si>
    <t>migration_folio_772_COMPLETE.json</t>
  </si>
  <si>
    <t>F2252</t>
  </si>
  <si>
    <t>ITEM_0637020241</t>
  </si>
  <si>
    <t>ALOE QX 77% ALOE VERA + 23% DE GOMA BB</t>
  </si>
  <si>
    <t>migration_folio_775_COMPLETE.json</t>
  </si>
  <si>
    <t>F2255</t>
  </si>
  <si>
    <t>ITEM_0637021241</t>
  </si>
  <si>
    <t>CDE 584 20kg  .pdf</t>
  </si>
  <si>
    <t>2024-584-ALBAFLOR-20240104.pdf</t>
  </si>
  <si>
    <t>migration_folio_782_COMPLETE.json</t>
  </si>
  <si>
    <t>F2264</t>
  </si>
  <si>
    <t>ITEM_0637024241</t>
  </si>
  <si>
    <t>migration_folio_779_COMPLETE.json</t>
  </si>
  <si>
    <t>F2261</t>
  </si>
  <si>
    <t>ITEM_0637025241</t>
  </si>
  <si>
    <t>migration_folio_780_COMPLETE.json</t>
  </si>
  <si>
    <t>F2262</t>
  </si>
  <si>
    <t>ITEM_0637026241</t>
  </si>
  <si>
    <t>migration_folio_783_COMPLETE.json</t>
  </si>
  <si>
    <t>F2266</t>
  </si>
  <si>
    <t>ITEM_0637027241</t>
  </si>
  <si>
    <t>CDE 587 25kg .pdf</t>
  </si>
  <si>
    <t>2023-588-ALBAFLOR-20240202.pdf</t>
  </si>
  <si>
    <t>migration_folio_781_COMPLETE.json</t>
  </si>
  <si>
    <t>BERRY GLOBAL INC</t>
  </si>
  <si>
    <t>F2263</t>
  </si>
  <si>
    <t>ITEM_0637028241</t>
  </si>
  <si>
    <t>4547316_VENDOR-CODE-BRANCH-PLANT_05-01-26.pdf</t>
  </si>
  <si>
    <t>4547316-BERRY_GLOBAL-20240101.pdf</t>
  </si>
  <si>
    <t>migration_folio_790_COMPLETE.json</t>
  </si>
  <si>
    <t>F2274</t>
  </si>
  <si>
    <t>4511287_VENDOR-CODE-BRANCH-PLANT_05-01-26.pdf</t>
  </si>
  <si>
    <t>4511287-BERRY_GLOBAL-20240101.pdf</t>
  </si>
  <si>
    <t>migration_folio_787_COMPLETE.json</t>
  </si>
  <si>
    <t>F2270</t>
  </si>
  <si>
    <t>ITEM_0637031241</t>
  </si>
  <si>
    <t>PO-2243500471_20240424170654.pdf</t>
  </si>
  <si>
    <t>2243500471-Barentz Italia-24-04-2024.pdf</t>
  </si>
  <si>
    <t>ITEM_0637034241</t>
  </si>
  <si>
    <t>migration_folio_789_COMPLETE.json</t>
  </si>
  <si>
    <t>F2272</t>
  </si>
  <si>
    <t>ITEM_0637037241</t>
  </si>
  <si>
    <t>migration_folio_791_COMPLETE.json</t>
  </si>
  <si>
    <t>F2275</t>
  </si>
  <si>
    <t>ITEM_0637038241</t>
  </si>
  <si>
    <t>migration_folio_802_COMPLETE.json</t>
  </si>
  <si>
    <t>F2282</t>
  </si>
  <si>
    <t>ITEM_0637039241</t>
  </si>
  <si>
    <t>0076257_Tropic-Skincare-Limited_05-01-26.pdf</t>
  </si>
  <si>
    <t>0076257-TROPIC_SKINCARE-20241103.pdf</t>
  </si>
  <si>
    <t>migration_folio_806_COMPLETE.json</t>
  </si>
  <si>
    <t>F2288</t>
  </si>
  <si>
    <t>ITEM_0637040241</t>
  </si>
  <si>
    <t>22.pdf; 482.pdf</t>
  </si>
  <si>
    <t>22-PARFUSALE-04-04-2024.pdf; 482-PARFUSALE-08-21-2024.pdf</t>
  </si>
  <si>
    <t>migration_folio_844_COMPLETE.json</t>
  </si>
  <si>
    <t>F2322</t>
  </si>
  <si>
    <t>ITEM_0637041241</t>
  </si>
  <si>
    <t>CDE 588 25kg .pdf</t>
  </si>
  <si>
    <t>ITEM_0637042241</t>
  </si>
  <si>
    <t>CDE 589 25kg .pdf</t>
  </si>
  <si>
    <t>2023-589-ALBAFLOR-20240202.pdf</t>
  </si>
  <si>
    <t>migration_folio_823_COMPLETE.json</t>
  </si>
  <si>
    <t>F2299</t>
  </si>
  <si>
    <t>ITEM_0637043241</t>
  </si>
  <si>
    <t>CDE 579 50kg .pdf</t>
  </si>
  <si>
    <t>2023-579-ALBAFLOR-20231024.pdf</t>
  </si>
  <si>
    <t>migration_folio_800_COMPLETE.json</t>
  </si>
  <si>
    <t>F2276</t>
  </si>
  <si>
    <t>ITEM_0637047241</t>
  </si>
  <si>
    <t>CDE 585 20kg  .pdf</t>
  </si>
  <si>
    <t>2024-585-ALBAFLOR-20240123.pdf</t>
  </si>
  <si>
    <t>migration_folio_797_COMPLETE.json</t>
  </si>
  <si>
    <t>F2278</t>
  </si>
  <si>
    <t>ITEM_0637050241</t>
  </si>
  <si>
    <t>NO202403000011.pdf</t>
  </si>
  <si>
    <t>2024-03000011-HSH_CHEMIE-20240227.pdf</t>
  </si>
  <si>
    <t>migration_folio_804_COMPLETE.json</t>
  </si>
  <si>
    <t>F2284</t>
  </si>
  <si>
    <t>ITEM_0637051241</t>
  </si>
  <si>
    <t>2410016-ALBAAD_DEUTSCHLAND_G_05-01-26.pdf</t>
  </si>
  <si>
    <t>2410016-ALBAAD_DEUTSCHLAND-20240101.pdf</t>
  </si>
  <si>
    <t>migration_folio_796_COMPLETE.json</t>
  </si>
  <si>
    <t>F2280</t>
  </si>
  <si>
    <t>ITEM_0637053241</t>
  </si>
  <si>
    <t>migration_folio_834_COMPLETE.json</t>
  </si>
  <si>
    <t>F2313</t>
  </si>
  <si>
    <t>ITEM_0637054241</t>
  </si>
  <si>
    <t>CDE 580 100kg  .pdf</t>
  </si>
  <si>
    <t>2023-580-ALBAFLOR-20231207.pdf</t>
  </si>
  <si>
    <t>migration_folio_803_COMPLETE.json</t>
  </si>
  <si>
    <t>F2283</t>
  </si>
  <si>
    <t>ITEM_0637055241</t>
  </si>
  <si>
    <t>CDE 586 50kg .pdf</t>
  </si>
  <si>
    <t>2023-586-ALBAFLOR-20240130.pdf</t>
  </si>
  <si>
    <t>migration_folio_1040_COMPLETE.json</t>
  </si>
  <si>
    <t>F2526</t>
  </si>
  <si>
    <t>ITEM_0637055251</t>
  </si>
  <si>
    <t>2410016.pdf</t>
  </si>
  <si>
    <t>2410016-VABO_N-20240312.pdf</t>
  </si>
  <si>
    <t>migration_folio_814_COMPLETE.json</t>
  </si>
  <si>
    <t>F2291</t>
  </si>
  <si>
    <t>ITEM_0637056241</t>
  </si>
  <si>
    <t>CDE 591 20kg  .pdf</t>
  </si>
  <si>
    <t>2024-591-ALBAFLOR-20240228.pdf</t>
  </si>
  <si>
    <t>migration_folio_808_COMPLETE.json</t>
  </si>
  <si>
    <t>F2290</t>
  </si>
  <si>
    <t>ITEM_0637061241</t>
  </si>
  <si>
    <t>migration_folio_810_COMPLETE.json</t>
  </si>
  <si>
    <t>F2287</t>
  </si>
  <si>
    <t>ITEM_0637062241</t>
  </si>
  <si>
    <t>CDE 592 50kg  .pdf</t>
  </si>
  <si>
    <t>2023-592-ALBAFLOR-20230229.pdf</t>
  </si>
  <si>
    <t>migration_folio_875_COMPLETE.json</t>
  </si>
  <si>
    <t>F2355</t>
  </si>
  <si>
    <t>ITEM_0637064241</t>
  </si>
  <si>
    <t>Commande 000139680.pdf</t>
  </si>
  <si>
    <t>139680-SOMES-20240304.pdf</t>
  </si>
  <si>
    <t>migration_folio_807_COMPLETE.json</t>
  </si>
  <si>
    <t>F2289</t>
  </si>
  <si>
    <t>ITEM_0637065241</t>
  </si>
  <si>
    <t>AMW240001LEU-UNION-04-03-2024.pdf</t>
  </si>
  <si>
    <t>ITEM_0637066241</t>
  </si>
  <si>
    <t>migration_folio_813_COMPLETE.json</t>
  </si>
  <si>
    <t>F2294</t>
  </si>
  <si>
    <t>ITEM_0637068241</t>
  </si>
  <si>
    <t>20240313151200039.pdf</t>
  </si>
  <si>
    <t>209-15436-CONNELL_BROS-20240313.pdf</t>
  </si>
  <si>
    <t>migration_folio_815_COMPLETE.json</t>
  </si>
  <si>
    <t>F2295</t>
  </si>
  <si>
    <t>ITEM_0637069241</t>
  </si>
  <si>
    <t>CDE 594 70kg  .pdf</t>
  </si>
  <si>
    <t>2024-594-ALBAFLOR-20240312.pdf</t>
  </si>
  <si>
    <t>migration_folio_818_COMPLETE.json</t>
  </si>
  <si>
    <t>F2298</t>
  </si>
  <si>
    <t>ITEM_0637072241</t>
  </si>
  <si>
    <t>CDE 593 20kg  .pdf</t>
  </si>
  <si>
    <t>2024-593-ALBAFLOR-20240301.pdf</t>
  </si>
  <si>
    <t>migration_folio_821_COMPLETE.json</t>
  </si>
  <si>
    <t>F2302</t>
  </si>
  <si>
    <t>ITEM_0637074241</t>
  </si>
  <si>
    <t>migration_folio_822_COMPLETE.json</t>
  </si>
  <si>
    <t>F2303</t>
  </si>
  <si>
    <t>ITEM_0637075241</t>
  </si>
  <si>
    <t>4500315680_digital-invoices-to-accountingdealbaadcom_05-01-26.pdf</t>
  </si>
  <si>
    <t>4500315680-ALBAAD_DEUTSCHLAND-20240101.pdf</t>
  </si>
  <si>
    <t>migration_folio_819_COMPLETE.json</t>
  </si>
  <si>
    <t>F2300</t>
  </si>
  <si>
    <t>ITEM_0637076241</t>
  </si>
  <si>
    <t>migration_folio_827_COMPLETE.json</t>
  </si>
  <si>
    <t>YI-DA Chemicals Co., LTD</t>
  </si>
  <si>
    <t>F2306</t>
  </si>
  <si>
    <t>ITEM_0637077241</t>
  </si>
  <si>
    <t>YD240401001.pdf</t>
  </si>
  <si>
    <t>YD240401001-YIDA_CHEMICALS-20240401.pdf</t>
  </si>
  <si>
    <t>migration_folio_832_COMPLETE.json</t>
  </si>
  <si>
    <t>COLORCON USA</t>
  </si>
  <si>
    <t>F2309</t>
  </si>
  <si>
    <t>ITEM_0637078241</t>
  </si>
  <si>
    <t>134714_United-StatesAGROMAYAL-BOTANICA-SA-DE-CV_05-01-26.pdf</t>
  </si>
  <si>
    <t>134714-COLORCON_US-20240101.pdf</t>
  </si>
  <si>
    <t>migration_folio_1152_COMPLETE.json</t>
  </si>
  <si>
    <t>F2640</t>
  </si>
  <si>
    <t>ITEM_0637181251</t>
  </si>
  <si>
    <t>migration_folio_1155_COMPLETE.json</t>
  </si>
  <si>
    <t>F2647</t>
  </si>
  <si>
    <t>ITEM_0637193251</t>
  </si>
  <si>
    <t>migration_folio_1157_COMPLETE.json</t>
  </si>
  <si>
    <t>VITA CO., LTD</t>
  </si>
  <si>
    <t>F2649</t>
  </si>
  <si>
    <t>ITEM_0637194251</t>
  </si>
  <si>
    <t>migration_folio_1162_COMPLETE.json</t>
  </si>
  <si>
    <t>F2653</t>
  </si>
  <si>
    <t>ITEM_0637195251</t>
  </si>
  <si>
    <t>ALOE QX 77/23  LOTE 0637185251</t>
  </si>
  <si>
    <t>70350120.pdf</t>
  </si>
  <si>
    <t>70350120-BRENNTAG-10-09-2024.pdf</t>
  </si>
  <si>
    <t>migration_folio_1166_COMPLETE.json</t>
  </si>
  <si>
    <t>F2663</t>
  </si>
  <si>
    <t>CDE 590 100kg .pdf</t>
  </si>
  <si>
    <t>2024-590-ALBAFLOR-20240226.pdf</t>
  </si>
  <si>
    <t>migration_folio_1167_COMPLETE.json</t>
  </si>
  <si>
    <t>F2664</t>
  </si>
  <si>
    <t>migration_folio_1165_COMPLETE.json</t>
  </si>
  <si>
    <t>COSBAR SL</t>
  </si>
  <si>
    <t>F2656</t>
  </si>
  <si>
    <t>ITEM_0637196251</t>
  </si>
  <si>
    <t>migration_folio_1164_COMPLETE.json</t>
  </si>
  <si>
    <t>F2655</t>
  </si>
  <si>
    <t>ITEM_0637197251</t>
  </si>
  <si>
    <t>ITEM_0637198251</t>
  </si>
  <si>
    <t>migration_folio_989_COMPLETE.json</t>
  </si>
  <si>
    <t>F2474</t>
  </si>
  <si>
    <t>ITEM_0638003251</t>
  </si>
  <si>
    <t>migration_folio_1003_COMPLETE.json</t>
  </si>
  <si>
    <t>GOOD FIBERS</t>
  </si>
  <si>
    <t>F2494</t>
  </si>
  <si>
    <t>ITEM_0638005251</t>
  </si>
  <si>
    <t>migration_folio_990_COMPLETE.json</t>
  </si>
  <si>
    <t>F2476</t>
  </si>
  <si>
    <t>ITEM_0638007251</t>
  </si>
  <si>
    <t>migration_folio_1030_COMPLETE.json</t>
  </si>
  <si>
    <t>F2501</t>
  </si>
  <si>
    <t>ITEM_0638017251</t>
  </si>
  <si>
    <t>20241003_093117.pdf; Bon_Commande_AMBWELLNESS_2312103_20231213.pdf; Bon_Commande_AMBWELLNESS_2403277_20240329.pdf</t>
  </si>
  <si>
    <t>2410030-GREENTECH-10-03-2024.pdf; 2312103-GREENTECH-13-12-2023.pdf; 2403277-GREENTECH-29-03-2024.pdf</t>
  </si>
  <si>
    <t>migration_folio_1004_COMPLETE.json</t>
  </si>
  <si>
    <t>F2495</t>
  </si>
  <si>
    <t>ITEM_0638019251</t>
  </si>
  <si>
    <t>240365_Fecha-PEDIDO-17052024-Fecha-de-ENTREGA-05072024ORD_05-01-26.pdf</t>
  </si>
  <si>
    <t>240365-CEMSA-20240517.pdf</t>
  </si>
  <si>
    <t>migration_folio_999_COMPLETE.json</t>
  </si>
  <si>
    <t>F2489</t>
  </si>
  <si>
    <t>ITEM_0638020251</t>
  </si>
  <si>
    <t>migration_folio_1002_COMPLETE.json</t>
  </si>
  <si>
    <t>F2493</t>
  </si>
  <si>
    <t>ITEM_0638021251</t>
  </si>
  <si>
    <t>migration_folio_1009_COMPLETE.json</t>
  </si>
  <si>
    <t>F2498</t>
  </si>
  <si>
    <t>ITEM_0638023251</t>
  </si>
  <si>
    <t>migration_folio_1019_COMPLETE.json</t>
  </si>
  <si>
    <t>F2506</t>
  </si>
  <si>
    <t>migration_folio_1008_COMPLETE.json</t>
  </si>
  <si>
    <t>F2497</t>
  </si>
  <si>
    <t>ITEM_0638024251</t>
  </si>
  <si>
    <t>migration_folio_1020_COMPLETE.json</t>
  </si>
  <si>
    <t>F2507</t>
  </si>
  <si>
    <t>ITEM_0638027251</t>
  </si>
  <si>
    <t>migration_folio_1026_COMPLETE.json</t>
  </si>
  <si>
    <t>F2508</t>
  </si>
  <si>
    <t>ITEM_0638029251</t>
  </si>
  <si>
    <t>migration_folio_1034_COMPLETE.json</t>
  </si>
  <si>
    <t>F2515</t>
  </si>
  <si>
    <t>ITEM_0638030251</t>
  </si>
  <si>
    <t>Supply order AMB Wellness  05.07.2024 - 2499.pdf</t>
  </si>
  <si>
    <t>2499-BONLAM-20240705.pdf</t>
  </si>
  <si>
    <t>migration_folio_1072_COMPLETE.json</t>
  </si>
  <si>
    <t>F2554</t>
  </si>
  <si>
    <t>migration_folio_1044_COMPLETE.json</t>
  </si>
  <si>
    <t>F2520</t>
  </si>
  <si>
    <t>ITEM_0638031251</t>
  </si>
  <si>
    <t>migration_folio_1028_COMPLETE.json</t>
  </si>
  <si>
    <t>F2510</t>
  </si>
  <si>
    <t>ITEM_0638032251</t>
  </si>
  <si>
    <t>migration_folio_1029_COMPLETE.json</t>
  </si>
  <si>
    <t>BARENTZ U.S.</t>
  </si>
  <si>
    <t>F2511</t>
  </si>
  <si>
    <t>ITEM_0638037251</t>
  </si>
  <si>
    <t>migration_folio_1035_COMPLETE.json</t>
  </si>
  <si>
    <t>F2517</t>
  </si>
  <si>
    <t>CDE 596 100kg  .pdf</t>
  </si>
  <si>
    <t>2024-596-ALBAFLOR-20240319.pdf</t>
  </si>
  <si>
    <t>migration_folio_1046_COMPLETE.json</t>
  </si>
  <si>
    <t>F2528</t>
  </si>
  <si>
    <t>PO0076257 - Agromayal Botanica.pdf</t>
  </si>
  <si>
    <t>PO0076257-Tropic Skincare-11-03-2024.pdf</t>
  </si>
  <si>
    <t>migration_folio_1059_COMPLETE.json</t>
  </si>
  <si>
    <t>F2539</t>
  </si>
  <si>
    <t>migration_folio_1027_COMPLETE.json</t>
  </si>
  <si>
    <t>F2509</t>
  </si>
  <si>
    <t>ITEM_0638038251</t>
  </si>
  <si>
    <t>migration_folio_1037_COMPLETE.json</t>
  </si>
  <si>
    <t>F2521</t>
  </si>
  <si>
    <t>ITEM_0638039251</t>
  </si>
  <si>
    <t>migration_folio_1039_COMPLETE.json</t>
  </si>
  <si>
    <t>F2525</t>
  </si>
  <si>
    <t>ITEM_0638051251</t>
  </si>
  <si>
    <t>migration_folio_1038_COMPLETE.json</t>
  </si>
  <si>
    <t>F2522</t>
  </si>
  <si>
    <t>ITEM_0638052251</t>
  </si>
  <si>
    <t>migration_folio_1036_COMPLETE.json</t>
  </si>
  <si>
    <t>F2519</t>
  </si>
  <si>
    <t>ITEM_0638053251</t>
  </si>
  <si>
    <t>migration_folio_1052_COMPLETE.json</t>
  </si>
  <si>
    <t>F2536</t>
  </si>
  <si>
    <t>migration_folio_1058_COMPLETE.json</t>
  </si>
  <si>
    <t>F2538</t>
  </si>
  <si>
    <t>ITEM_0638060251</t>
  </si>
  <si>
    <t>migration_folio_1051_COMPLETE.json</t>
  </si>
  <si>
    <t>F2533</t>
  </si>
  <si>
    <t>ITEM_0638061251</t>
  </si>
  <si>
    <t>migration_folio_1050_COMPLETE.json</t>
  </si>
  <si>
    <t>F2535</t>
  </si>
  <si>
    <t>ITEM_0638062251</t>
  </si>
  <si>
    <t>ITEM_0638065251</t>
  </si>
  <si>
    <t>migration_folio_1053_COMPLETE.json</t>
  </si>
  <si>
    <t>F2537</t>
  </si>
  <si>
    <t>ITEM_0638067251</t>
  </si>
  <si>
    <t>migration_folio_1115_COMPLETE.json</t>
  </si>
  <si>
    <t>F2540</t>
  </si>
  <si>
    <t>ITEM_0638069251</t>
  </si>
  <si>
    <t>migration_folio_1061_COMPLETE.json</t>
  </si>
  <si>
    <t>UNIVERSIDAD AUTONOMA SLP</t>
  </si>
  <si>
    <t>F2543</t>
  </si>
  <si>
    <t>ITEM_0638074251</t>
  </si>
  <si>
    <t>migration_folio_1063_COMPLETE.json</t>
  </si>
  <si>
    <t>F2544</t>
  </si>
  <si>
    <t>ITEM_0638080251</t>
  </si>
  <si>
    <t>migration_folio_1064_COMPLETE.json</t>
  </si>
  <si>
    <t>F2546</t>
  </si>
  <si>
    <t>migration_folio_1066_COMPLETE.json</t>
  </si>
  <si>
    <t>F2548</t>
  </si>
  <si>
    <t>ITEM_0638081251</t>
  </si>
  <si>
    <t>224.pdf</t>
  </si>
  <si>
    <t>224-PARFUSALE-05-15-2024.pdf</t>
  </si>
  <si>
    <t>migration_folio_1071_COMPLETE.json</t>
  </si>
  <si>
    <t>F2553</t>
  </si>
  <si>
    <t>ITEM_0638083251</t>
  </si>
  <si>
    <t>ITEM_0638085241</t>
  </si>
  <si>
    <t>ALOE 72% + GOMA BB 28%</t>
  </si>
  <si>
    <t>migration_folio_836_COMPLETE.json</t>
  </si>
  <si>
    <t>F2315</t>
  </si>
  <si>
    <t>ITEM_0638086241</t>
  </si>
  <si>
    <t>migration_folio_833_COMPLETE.json</t>
  </si>
  <si>
    <t>F2310</t>
  </si>
  <si>
    <t>ITEM_0638087241</t>
  </si>
  <si>
    <t>migration_folio_1068_COMPLETE.json</t>
  </si>
  <si>
    <t>F2550</t>
  </si>
  <si>
    <t>ITEM_0638087251</t>
  </si>
  <si>
    <t>migration_folio_1069_COMPLETE.json</t>
  </si>
  <si>
    <t>F2551</t>
  </si>
  <si>
    <t>migration_folio_839_COMPLETE.json</t>
  </si>
  <si>
    <t>F2319</t>
  </si>
  <si>
    <t>ITEM_0638088241</t>
  </si>
  <si>
    <t>20240408114745711.pdf</t>
  </si>
  <si>
    <t>4500130573-MAGNACHEM-08-04-2024.pdf</t>
  </si>
  <si>
    <t>migration_folio_1077_COMPLETE.json</t>
  </si>
  <si>
    <t>F2559</t>
  </si>
  <si>
    <t>ITEM_0638088251</t>
  </si>
  <si>
    <t>migration_folio_1078_COMPLETE.json</t>
  </si>
  <si>
    <t>F2561</t>
  </si>
  <si>
    <t>CDE 599 50kg  .pdf</t>
  </si>
  <si>
    <t>2024-599-ALBAFLOR-20240726.pdf</t>
  </si>
  <si>
    <t>migration_folio_829_COMPLETE.json</t>
  </si>
  <si>
    <t>F2308</t>
  </si>
  <si>
    <t>ITEM_0638089241</t>
  </si>
  <si>
    <t>migration_folio_835_COMPLETE.json</t>
  </si>
  <si>
    <t>F2314</t>
  </si>
  <si>
    <t>ITEM_0638096241</t>
  </si>
  <si>
    <t>ITEM_0638097241</t>
  </si>
  <si>
    <t>migration_folio_881_COMPLETE.json</t>
  </si>
  <si>
    <t>F2362</t>
  </si>
  <si>
    <t>migration_folio_955_COMPLETE.json</t>
  </si>
  <si>
    <t>F2430</t>
  </si>
  <si>
    <t>migration_folio_1074_COMPLETE.json</t>
  </si>
  <si>
    <t>F2556</t>
  </si>
  <si>
    <t>ITEM_0638097251</t>
  </si>
  <si>
    <t>Purchase order-43258.pdf</t>
  </si>
  <si>
    <t>43258-FROSCO-20240807.pdf</t>
  </si>
  <si>
    <t>migration_folio_841_COMPLETE.json</t>
  </si>
  <si>
    <t>F2321</t>
  </si>
  <si>
    <t>ITEM_0638098241</t>
  </si>
  <si>
    <t>migration_folio_857_COMPLETE.json</t>
  </si>
  <si>
    <t>F2339</t>
  </si>
  <si>
    <t>migration_folio_867_COMPLETE.json</t>
  </si>
  <si>
    <t>F2349</t>
  </si>
  <si>
    <t>migration_folio_873_COMPLETE.json</t>
  </si>
  <si>
    <t>F2352</t>
  </si>
  <si>
    <t>ITEM_0638099251</t>
  </si>
  <si>
    <t>migration_folio_1075_COMPLETE.json</t>
  </si>
  <si>
    <t>F2557</t>
  </si>
  <si>
    <t>ITEM_0638100251</t>
  </si>
  <si>
    <t>migration_folio_837_COMPLETE.json</t>
  </si>
  <si>
    <t>F2316</t>
  </si>
  <si>
    <t>ITEM_0638101241</t>
  </si>
  <si>
    <t>346001555_Our-contOrder-no-PO346001555_05-01-26.pdf</t>
  </si>
  <si>
    <t>346001555-AZELIS_ISRAEL-20240101.pdf</t>
  </si>
  <si>
    <t>migration_folio_838_COMPLETE.json</t>
  </si>
  <si>
    <t>ITEM_0638104241</t>
  </si>
  <si>
    <t>migration_folio_1084_COMPLETE.json</t>
  </si>
  <si>
    <t>F2568</t>
  </si>
  <si>
    <t>ITEM_0638104251</t>
  </si>
  <si>
    <t>migration_folio_1085_COMPLETE.json</t>
  </si>
  <si>
    <t>F2570</t>
  </si>
  <si>
    <t>ITEM_0638105241</t>
  </si>
  <si>
    <t>migration_folio_1081_COMPLETE.json</t>
  </si>
  <si>
    <t>F2566</t>
  </si>
  <si>
    <t>ITEM_0638107251</t>
  </si>
  <si>
    <t>migration_folio_1082_COMPLETE.json</t>
  </si>
  <si>
    <t>F2569</t>
  </si>
  <si>
    <t>ITEM_0638108251</t>
  </si>
  <si>
    <t>migration_folio_868_COMPLETE.json</t>
  </si>
  <si>
    <t>Azelis Morocco</t>
  </si>
  <si>
    <t>F2324</t>
  </si>
  <si>
    <t>ITEM_0638111241</t>
  </si>
  <si>
    <t>migration_folio_846_COMPLETE.json</t>
  </si>
  <si>
    <t>F2327</t>
  </si>
  <si>
    <t>ITEM_0638112241</t>
  </si>
  <si>
    <t>4500318621_DOR-CODE-10001415_05-01-26_v1.pdf</t>
  </si>
  <si>
    <t>4500318621-BRENNTAG_TAI-20240101.pdf</t>
  </si>
  <si>
    <t>migration_folio_843_COMPLETE.json</t>
  </si>
  <si>
    <t>F2325</t>
  </si>
  <si>
    <t>ITEM_0638113241</t>
  </si>
  <si>
    <t>migration_folio_845_COMPLETE.json</t>
  </si>
  <si>
    <t>F2326</t>
  </si>
  <si>
    <t>ITEM_0638116241</t>
  </si>
  <si>
    <t>migration_folio_1087_COMPLETE.json</t>
  </si>
  <si>
    <t>F2574</t>
  </si>
  <si>
    <t>ITEM_0638116251</t>
  </si>
  <si>
    <t>migration_folio_1086_COMPLETE.json</t>
  </si>
  <si>
    <t>F2573</t>
  </si>
  <si>
    <t>ITEM_0638117251</t>
  </si>
  <si>
    <t>migration_folio_1127_COMPLETE.json</t>
  </si>
  <si>
    <t>F2618</t>
  </si>
  <si>
    <t>ITEM_0638119251</t>
  </si>
  <si>
    <t>migration_folio_1128_COMPLETE.json</t>
  </si>
  <si>
    <t>F2594</t>
  </si>
  <si>
    <t>migration_folio_850_COMPLETE.json</t>
  </si>
  <si>
    <t>F2330</t>
  </si>
  <si>
    <t>ITEM_0638120241</t>
  </si>
  <si>
    <t>migration_folio_1092_COMPLETE.json</t>
  </si>
  <si>
    <t>F2582</t>
  </si>
  <si>
    <t>ITEM_0638120251</t>
  </si>
  <si>
    <t>migration_folio_848_COMPLETE.json</t>
  </si>
  <si>
    <t>F2329</t>
  </si>
  <si>
    <t>ITEM_0638121241</t>
  </si>
  <si>
    <t>migration_folio_1091_COMPLETE.json</t>
  </si>
  <si>
    <t>F2581</t>
  </si>
  <si>
    <t>ITEM_0638121251</t>
  </si>
  <si>
    <t>migration_folio_1093_COMPLETE.json</t>
  </si>
  <si>
    <t>F2583</t>
  </si>
  <si>
    <t>migration_folio_854_COMPLETE.json</t>
  </si>
  <si>
    <t>F2334</t>
  </si>
  <si>
    <t>ITEM_0638123241</t>
  </si>
  <si>
    <t>migration_folio_853_COMPLETE.json</t>
  </si>
  <si>
    <t>F2333</t>
  </si>
  <si>
    <t>ITEM_0638124241</t>
  </si>
  <si>
    <t>migration_folio_855_COMPLETE.json</t>
  </si>
  <si>
    <t>F2336</t>
  </si>
  <si>
    <t>ITEM_0638125241</t>
  </si>
  <si>
    <t>migration_folio_1098_COMPLETE.json</t>
  </si>
  <si>
    <t>F2589</t>
  </si>
  <si>
    <t>ITEM_0638127251</t>
  </si>
  <si>
    <t>migration_folio_1097_COMPLETE.json</t>
  </si>
  <si>
    <t>F2588</t>
  </si>
  <si>
    <t>ITEM_0638128251</t>
  </si>
  <si>
    <t>migration_folio_870_COMPLETE.json</t>
  </si>
  <si>
    <t>F2351</t>
  </si>
  <si>
    <t>ITEM_0638129241</t>
  </si>
  <si>
    <t>migration_folio_1099_COMPLETE.json</t>
  </si>
  <si>
    <t>F2590</t>
  </si>
  <si>
    <t>ITEM_0638129251</t>
  </si>
  <si>
    <t>migration_folio_1100_COMPLETE.json</t>
  </si>
  <si>
    <t>F2591</t>
  </si>
  <si>
    <t>migration_folio_860_COMPLETE.json</t>
  </si>
  <si>
    <t>F2338</t>
  </si>
  <si>
    <t>ITEM_0638130241</t>
  </si>
  <si>
    <t>migration_folio_858_COMPLETE.json</t>
  </si>
  <si>
    <t>F2342</t>
  </si>
  <si>
    <t>ITEM_0638131241</t>
  </si>
  <si>
    <t>migration_folio_872_COMPLETE.json</t>
  </si>
  <si>
    <t>F2341</t>
  </si>
  <si>
    <t>migration_folio_1102_COMPLETE.json</t>
  </si>
  <si>
    <t>F2593</t>
  </si>
  <si>
    <t>ITEM_0638131251</t>
  </si>
  <si>
    <t>migration_folio_859_COMPLETE.json</t>
  </si>
  <si>
    <t>F2343</t>
  </si>
  <si>
    <t>ITEM_0638132241</t>
  </si>
  <si>
    <t>11541_Brenntag_Mexico__05-01-26.pdf</t>
  </si>
  <si>
    <t>11541-BRENNTAG_MEXICO-20240101.pdf</t>
  </si>
  <si>
    <t>migration_folio_1108_COMPLETE.json</t>
  </si>
  <si>
    <t>F2602</t>
  </si>
  <si>
    <t>ITEM_0638132251</t>
  </si>
  <si>
    <t>migration_folio_1132_COMPLETE.json</t>
  </si>
  <si>
    <t>F2621</t>
  </si>
  <si>
    <t>migration_folio_1123_COMPLETE.json</t>
  </si>
  <si>
    <t>F2597</t>
  </si>
  <si>
    <t>ITEM_0638134251</t>
  </si>
  <si>
    <t>migration_folio_865_COMPLETE.json</t>
  </si>
  <si>
    <t>F2347</t>
  </si>
  <si>
    <t>ITEM_0638135241</t>
  </si>
  <si>
    <t>migration_folio_1105_COMPLETE.json</t>
  </si>
  <si>
    <t>F2599</t>
  </si>
  <si>
    <t>ITEM_0638135251</t>
  </si>
  <si>
    <t>migration_folio_1106_COMPLETE.json</t>
  </si>
  <si>
    <t>F2600</t>
  </si>
  <si>
    <t>migration_folio_887_COMPLETE.json</t>
  </si>
  <si>
    <t>F2365</t>
  </si>
  <si>
    <t>ITEM_0638136241</t>
  </si>
  <si>
    <t>346001712_Our-contOrder-no_05-01-26.pdf</t>
  </si>
  <si>
    <t>346001712-AZELIS_ISRAEL-20240101.pdf</t>
  </si>
  <si>
    <t>migration_folio_1110_COMPLETE.json</t>
  </si>
  <si>
    <t>F2598</t>
  </si>
  <si>
    <t>ITEM_0638136251</t>
  </si>
  <si>
    <t>migration_folio_877_COMPLETE.json</t>
  </si>
  <si>
    <t>F2354</t>
  </si>
  <si>
    <t>ITEM_0638137241</t>
  </si>
  <si>
    <t>migration_folio_891_COMPLETE.json</t>
  </si>
  <si>
    <t>F2370</t>
  </si>
  <si>
    <t>migration_folio_917_COMPLETE.json</t>
  </si>
  <si>
    <t>F2397</t>
  </si>
  <si>
    <t>migration_folio_1124_COMPLETE.json</t>
  </si>
  <si>
    <t>F2609</t>
  </si>
  <si>
    <t>ITEM_0638137251</t>
  </si>
  <si>
    <t>CDE 600 20kg  .pdf</t>
  </si>
  <si>
    <t>2024-600-ALBAFLOR-20240810.pdf</t>
  </si>
  <si>
    <t>migration_folio_1134_COMPLETE.json</t>
  </si>
  <si>
    <t>F2623</t>
  </si>
  <si>
    <t>CDE 583 1kg  .pdf</t>
  </si>
  <si>
    <t>2024-583-ALBAFLOR-20240104.pdf</t>
  </si>
  <si>
    <t>migration_folio_1138_COMPLETE.json</t>
  </si>
  <si>
    <t>F2627</t>
  </si>
  <si>
    <t>migration_folio_1150_COMPLETE.json</t>
  </si>
  <si>
    <t>F2637</t>
  </si>
  <si>
    <t>migration_folio_1154_COMPLETE.json</t>
  </si>
  <si>
    <t>F2646</t>
  </si>
  <si>
    <t>migration_folio_884_COMPLETE.json</t>
  </si>
  <si>
    <t>F2364</t>
  </si>
  <si>
    <t>ITEM_0638138241</t>
  </si>
  <si>
    <t>migration_folio_894_COMPLETE.json</t>
  </si>
  <si>
    <t>F2373</t>
  </si>
  <si>
    <t>migration_folio_1107_COMPLETE.json</t>
  </si>
  <si>
    <t>F2601</t>
  </si>
  <si>
    <t>ITEM_0638138251</t>
  </si>
  <si>
    <t>migration_folio_1112_COMPLETE.json</t>
  </si>
  <si>
    <t>F2606</t>
  </si>
  <si>
    <t>ITEM_0638139251</t>
  </si>
  <si>
    <t>migration_folio_1129_COMPLETE.json</t>
  </si>
  <si>
    <t>F2605</t>
  </si>
  <si>
    <t>migration_folio_1109_COMPLETE.json</t>
  </si>
  <si>
    <t>F2604</t>
  </si>
  <si>
    <t>ITEM_0638140251</t>
  </si>
  <si>
    <t>117826-Barentz Canada ULC-15-01-2024.pdf</t>
  </si>
  <si>
    <t>migration_folio_1111_COMPLETE.json</t>
  </si>
  <si>
    <t>F2603</t>
  </si>
  <si>
    <t>ITEM_0638141251</t>
  </si>
  <si>
    <t>ITEM_0638142251</t>
  </si>
  <si>
    <t>migration_folio_880_COMPLETE.json</t>
  </si>
  <si>
    <t>F2361</t>
  </si>
  <si>
    <t>ITEM_0638143241</t>
  </si>
  <si>
    <t>migration_folio_886_COMPLETE.json</t>
  </si>
  <si>
    <t>F2359</t>
  </si>
  <si>
    <t>ITEM_0638144241</t>
  </si>
  <si>
    <t>migration_folio_882_COMPLETE.json</t>
  </si>
  <si>
    <t>F2363</t>
  </si>
  <si>
    <t>ITEM_0638145241</t>
  </si>
  <si>
    <t>4698.pdf</t>
  </si>
  <si>
    <t>10004698-VTG Specialty Chemicals-07-05-2024.pdf</t>
  </si>
  <si>
    <t>migration_folio_1114_COMPLETE.json</t>
  </si>
  <si>
    <t>F2613</t>
  </si>
  <si>
    <t>ITEM_0638146251</t>
  </si>
  <si>
    <t>migration_folio_1113_COMPLETE.json</t>
  </si>
  <si>
    <t>F2610</t>
  </si>
  <si>
    <t>ITEM_0638147251</t>
  </si>
  <si>
    <t>ITEM_0638149241</t>
  </si>
  <si>
    <t>346001793_Our-contOrder-no-PO346001793_05-01-26.pdf</t>
  </si>
  <si>
    <t>346001793-AZELIS_ISRAEL-20240101.pdf</t>
  </si>
  <si>
    <t>migration_folio_1145_COMPLETE.json</t>
  </si>
  <si>
    <t>F2614</t>
  </si>
  <si>
    <t>ITEM_0638149251</t>
  </si>
  <si>
    <t>migration_folio_885_COMPLETE.json</t>
  </si>
  <si>
    <t>F2366</t>
  </si>
  <si>
    <t>ITEM_0638151241</t>
  </si>
  <si>
    <t>migration_folio_888_COMPLETE.json</t>
  </si>
  <si>
    <t>F2369</t>
  </si>
  <si>
    <t>ITEM_0638152241</t>
  </si>
  <si>
    <t>15436-CONNELL-03-13-2024.pdf</t>
  </si>
  <si>
    <t>migration_folio_1131_COMPLETE.json</t>
  </si>
  <si>
    <t>F2620</t>
  </si>
  <si>
    <t>ITEM_0638154251</t>
  </si>
  <si>
    <t>migration_folio_1133_COMPLETE.json</t>
  </si>
  <si>
    <t>F2622</t>
  </si>
  <si>
    <t>ITEM_0638155251</t>
  </si>
  <si>
    <t>migration_folio_1135_COMPLETE.json</t>
  </si>
  <si>
    <t>Barentz Sp. z o.o.</t>
  </si>
  <si>
    <t>F2624</t>
  </si>
  <si>
    <t>ITEM_0638158251</t>
  </si>
  <si>
    <t>migration_folio_897_COMPLETE.json</t>
  </si>
  <si>
    <t>F2377</t>
  </si>
  <si>
    <t>ITEM_0638159241</t>
  </si>
  <si>
    <t>migration_folio_904_COMPLETE.json</t>
  </si>
  <si>
    <t>F2376</t>
  </si>
  <si>
    <t>migration_folio_1139_COMPLETE.json</t>
  </si>
  <si>
    <t>F2628</t>
  </si>
  <si>
    <t>ITEM_0638159251</t>
  </si>
  <si>
    <t>migration_folio_901_COMPLETE.json</t>
  </si>
  <si>
    <t>F2382</t>
  </si>
  <si>
    <t>ITEM_0638165241</t>
  </si>
  <si>
    <t>43258-FROSCO-07-08-2024.pdf</t>
  </si>
  <si>
    <t>migration_folio_1137_COMPLETE.json</t>
  </si>
  <si>
    <t>F2626</t>
  </si>
  <si>
    <t>ITEM_0638165251</t>
  </si>
  <si>
    <t>migration_folio_911_COMPLETE.json</t>
  </si>
  <si>
    <t>F2381</t>
  </si>
  <si>
    <t>ITEM_0638166241</t>
  </si>
  <si>
    <t>migration_folio_915_COMPLETE.json</t>
  </si>
  <si>
    <t>BRENNTAG PUERTO RICO</t>
  </si>
  <si>
    <t>F2395</t>
  </si>
  <si>
    <t>ITEM_0638167241</t>
  </si>
  <si>
    <t>migration_folio_1141_COMPLETE.json</t>
  </si>
  <si>
    <t>F2631</t>
  </si>
  <si>
    <t>ITEM_0638171251</t>
  </si>
  <si>
    <t>migration_folio_1142_COMPLETE.json</t>
  </si>
  <si>
    <t>F2632</t>
  </si>
  <si>
    <t>ITEM_0638173251</t>
  </si>
  <si>
    <t>10_AGROMAYAL-BOT_05-01-26_v2.pdf</t>
  </si>
  <si>
    <t>12827-BRENNTAG_ME-20240101.pdf</t>
  </si>
  <si>
    <t>migration_folio_1148_COMPLETE.json</t>
  </si>
  <si>
    <t>F2634</t>
  </si>
  <si>
    <t>migration_folio_922_COMPLETE.json</t>
  </si>
  <si>
    <t>F2402</t>
  </si>
  <si>
    <t>ITEM_0638175241</t>
  </si>
  <si>
    <t>migration_folio_946_COMPLETE.json</t>
  </si>
  <si>
    <t>F2425</t>
  </si>
  <si>
    <t>ITEM_0638176241</t>
  </si>
  <si>
    <t>migration_folio_1160_COMPLETE.json</t>
  </si>
  <si>
    <t>F2651</t>
  </si>
  <si>
    <t>ITEM_0638184251</t>
  </si>
  <si>
    <t>migration_folio_925_COMPLETE.json</t>
  </si>
  <si>
    <t>F2407</t>
  </si>
  <si>
    <t>ITEM_0638190241</t>
  </si>
  <si>
    <t>migration_folio_935_COMPLETE.json</t>
  </si>
  <si>
    <t>F2416</t>
  </si>
  <si>
    <t>ITEM_0638192241</t>
  </si>
  <si>
    <t>migration_folio_932_COMPLETE.json</t>
  </si>
  <si>
    <t>F2409</t>
  </si>
  <si>
    <t>ITEM_0638193241</t>
  </si>
  <si>
    <t>migration_folio_928_COMPLETE.json</t>
  </si>
  <si>
    <t>F2411</t>
  </si>
  <si>
    <t>ITEM_0638196241</t>
  </si>
  <si>
    <t>migration_folio_929_COMPLETE.json</t>
  </si>
  <si>
    <t>F2413</t>
  </si>
  <si>
    <t>ITEM_0638198241</t>
  </si>
  <si>
    <t>migration_folio_936_COMPLETE.json</t>
  </si>
  <si>
    <t>F2412</t>
  </si>
  <si>
    <t>ITEM_0638199241</t>
  </si>
  <si>
    <t>migration_folio_930_COMPLETE.json</t>
  </si>
  <si>
    <t>F2414</t>
  </si>
  <si>
    <t>ITEM_0638201241</t>
  </si>
  <si>
    <t>migration_folio_941_COMPLETE.json</t>
  </si>
  <si>
    <t>F2419</t>
  </si>
  <si>
    <t>ITEM_0638202241</t>
  </si>
  <si>
    <t>migration_folio_980_COMPLETE.json</t>
  </si>
  <si>
    <t>F2462</t>
  </si>
  <si>
    <t>migration_folio_983_COMPLETE.json</t>
  </si>
  <si>
    <t>F2459</t>
  </si>
  <si>
    <t>migration_folio_1007_COMPLETE.json</t>
  </si>
  <si>
    <t>F2491</t>
  </si>
  <si>
    <t>migration_folio_1163_COMPLETE.json</t>
  </si>
  <si>
    <t>F2654</t>
  </si>
  <si>
    <t>ITEM_0638202251</t>
  </si>
  <si>
    <t>migration_folio_940_COMPLETE.json</t>
  </si>
  <si>
    <t>F2418</t>
  </si>
  <si>
    <t>ITEM_0638204241</t>
  </si>
  <si>
    <t>2410016-VABON-12-03-2024.pdf</t>
  </si>
  <si>
    <t>migration_folio_947_COMPLETE.json</t>
  </si>
  <si>
    <t>F2426</t>
  </si>
  <si>
    <t>ITEM_0638213241</t>
  </si>
  <si>
    <t>migration_folio_970_COMPLETE.json</t>
  </si>
  <si>
    <t>F2449</t>
  </si>
  <si>
    <t>migration_folio_975_COMPLETE.json</t>
  </si>
  <si>
    <t>F2457</t>
  </si>
  <si>
    <t>New order Albaad - 4500300799.PDF</t>
  </si>
  <si>
    <t>4500300799-ALBAAD-20240101.pdf</t>
  </si>
  <si>
    <t>migration_folio_954_COMPLETE.json</t>
  </si>
  <si>
    <t>F2427</t>
  </si>
  <si>
    <t>ITEM_0638214241</t>
  </si>
  <si>
    <t>PO-2243500026_20240115151249.pdf</t>
  </si>
  <si>
    <t>2243500026-BARENTZ-20240115.pdf</t>
  </si>
  <si>
    <t>migration_folio_951_COMPLETE.json</t>
  </si>
  <si>
    <t>F2433</t>
  </si>
  <si>
    <t>ITEM_0638221241</t>
  </si>
  <si>
    <t>migration_folio_966_COMPLETE.json</t>
  </si>
  <si>
    <t>F2445</t>
  </si>
  <si>
    <t>ITEM_0638225241</t>
  </si>
  <si>
    <t>PO-2243500054_20240117155155.pdf</t>
  </si>
  <si>
    <t>2243500054-BARENTZ-20240117.pdf</t>
  </si>
  <si>
    <t>migration_folio_959_COMPLETE.json</t>
  </si>
  <si>
    <t>F2441</t>
  </si>
  <si>
    <t>ITEM_0638226241</t>
  </si>
  <si>
    <t>migration_folio_961_COMPLETE.json</t>
  </si>
  <si>
    <t>F2439</t>
  </si>
  <si>
    <t>migration_folio_967_COMPLETE.json</t>
  </si>
  <si>
    <t>F2446</t>
  </si>
  <si>
    <t>migration_folio_968_COMPLETE.json</t>
  </si>
  <si>
    <t>F2447</t>
  </si>
  <si>
    <t>ITEM_0638234241</t>
  </si>
  <si>
    <t>PO# 4007582.pdf</t>
  </si>
  <si>
    <t>4007582-CHARKIT-20242601.pdf</t>
  </si>
  <si>
    <t>migration_folio_972_COMPLETE.json</t>
  </si>
  <si>
    <t>F2452</t>
  </si>
  <si>
    <t>ITEM_0638237241</t>
  </si>
  <si>
    <t>731_in-Finland_12-11-24.pdf</t>
  </si>
  <si>
    <t>731-PARFUSALE_AB-20241112.pdf</t>
  </si>
  <si>
    <t>migration_folio_978_COMPLETE.json</t>
  </si>
  <si>
    <t>F2458</t>
  </si>
  <si>
    <t>ITEM_0638245241</t>
  </si>
  <si>
    <t>migration_folio_979_COMPLETE.json</t>
  </si>
  <si>
    <t>F2461</t>
  </si>
  <si>
    <t>ITEM_0638247241</t>
  </si>
  <si>
    <t>migration_folio_981_COMPLETE.json</t>
  </si>
  <si>
    <t>F2460</t>
  </si>
  <si>
    <t>migration_folio_985_COMPLETE.json</t>
  </si>
  <si>
    <t>F2467</t>
  </si>
  <si>
    <t>ITEM_0638249241</t>
  </si>
  <si>
    <t>migration_folio_1016_COMPLETE.json</t>
  </si>
  <si>
    <t>F2499</t>
  </si>
  <si>
    <t>ITEM_0638251241</t>
  </si>
  <si>
    <t>42110.pdf</t>
  </si>
  <si>
    <t>42110-PGI Argentina-20-05-2024.pdf</t>
  </si>
  <si>
    <t>migration_folio_1042_COMPLETE.json</t>
  </si>
  <si>
    <t>F2473</t>
  </si>
  <si>
    <t>ITEM_0638255241</t>
  </si>
  <si>
    <t>migration_folio_1054_COMPLETE.json</t>
  </si>
  <si>
    <t>F2472</t>
  </si>
  <si>
    <t>ITEM_0638257241</t>
  </si>
  <si>
    <t>JPD920_43_01_91100_247615_OP_0_0_en.pdf</t>
  </si>
  <si>
    <t>247615-IMCD-20240510.pdf</t>
  </si>
  <si>
    <t>migration_folio_1055_COMPLETE.json</t>
  </si>
  <si>
    <t>F2523</t>
  </si>
  <si>
    <t>JPD920_43_01_91100_249868_OP_0_0_en.pdf</t>
  </si>
  <si>
    <t>249868-IMCD-20240605.pdf</t>
  </si>
  <si>
    <t>migration_folio_988_COMPLETE.json</t>
  </si>
  <si>
    <t>F2471</t>
  </si>
  <si>
    <t>ITEM_0638258241</t>
  </si>
  <si>
    <t>migration_folio_994_COMPLETE.json</t>
  </si>
  <si>
    <t>F2482</t>
  </si>
  <si>
    <t>migration_folio_986_COMPLETE.json</t>
  </si>
  <si>
    <t>F2468</t>
  </si>
  <si>
    <t>ITEM_0638259241</t>
  </si>
  <si>
    <t>migration_folio_1000_COMPLETE.json</t>
  </si>
  <si>
    <t>F2490</t>
  </si>
  <si>
    <t>migration_folio_1001_COMPLETE.json</t>
  </si>
  <si>
    <t>F2492</t>
  </si>
  <si>
    <t>migration_folio_1015_COMPLETE.json</t>
  </si>
  <si>
    <t>F2483</t>
  </si>
  <si>
    <t>ITEM_0638260241</t>
  </si>
  <si>
    <t>2249500221.pdf; 2249500586.pdf; 2249500698.pdf; 2249500730.pdf</t>
  </si>
  <si>
    <t>2249500221-BARENTZ-26-02-2024.pdf; 2249500586-BARENTZ-10-06-2024.pdf; 2249500698-BARENTZ-18-07-2024.pdf; 2249500730-BARENTZ-04-08-2024.pdf</t>
  </si>
  <si>
    <t>migration_folio_856_COMPLETE.json</t>
  </si>
  <si>
    <t>F2335</t>
  </si>
  <si>
    <t>ITEM_0639106241</t>
  </si>
  <si>
    <t>JPD920_43_01_91100_254103_OP_0_0_en.pdf</t>
  </si>
  <si>
    <t>254103-IMCD-20240925.pdf</t>
  </si>
  <si>
    <t>PO-2243500460_20240419111833.pdf</t>
  </si>
  <si>
    <t>2243500460-Barentz Italia-19-04-2024.pdf</t>
  </si>
  <si>
    <t>migration_folio_869_COMPLETE.json</t>
  </si>
  <si>
    <t>BRENNTAG PUI</t>
  </si>
  <si>
    <t>F2350</t>
  </si>
  <si>
    <t>ITEM_0639140241</t>
  </si>
  <si>
    <t>ALOE QX 68% ALOE VERA  + 32% GOMA BB</t>
  </si>
  <si>
    <t>4700007642.pdf</t>
  </si>
  <si>
    <t>4700007642-BRENNTAG-19-01-2024.pdf</t>
  </si>
  <si>
    <t>migration_folio_874_COMPLETE.json</t>
  </si>
  <si>
    <t>F2353</t>
  </si>
  <si>
    <t>ITEM_0639141241</t>
  </si>
  <si>
    <t>migration_folio_866_COMPLETE.json</t>
  </si>
  <si>
    <t>F2348</t>
  </si>
  <si>
    <t>ITEM_0640134241</t>
  </si>
  <si>
    <t>migration_folio_1018_COMPLETE.json</t>
  </si>
  <si>
    <t>F2504</t>
  </si>
  <si>
    <t>ITEM_0641026251</t>
  </si>
  <si>
    <t>ALOE QX 75% ALOE VERA  + 25% GOMA BB</t>
  </si>
  <si>
    <t>AMW240001LEU-13-02-2024-CELLEX_PHARM_CO.,_LT.pdf</t>
  </si>
  <si>
    <t>AMW240001LEU-CELLEX-20240213.pdf</t>
  </si>
  <si>
    <t>migration_folio_1094_COMPLETE.json</t>
  </si>
  <si>
    <t>F2584</t>
  </si>
  <si>
    <t>AMW240001LEU-13-02-2024-DAEHAN_CHEMTECH_CO.,.pdf</t>
  </si>
  <si>
    <t>AMW240001LEU-DAEHAN-20240213.pdf</t>
  </si>
  <si>
    <t>migration_folio_937_COMPLETE.json</t>
  </si>
  <si>
    <t>F2410</t>
  </si>
  <si>
    <t>ITEM_0641191241</t>
  </si>
  <si>
    <t>75% ALOE VERA  + 25% GOMA BB</t>
  </si>
  <si>
    <t>migration_folio_984_COMPLETE.json</t>
  </si>
  <si>
    <t>F2463</t>
  </si>
  <si>
    <t>ITEM_0641230241</t>
  </si>
  <si>
    <t>migration_folio_1025_COMPLETE.json</t>
  </si>
  <si>
    <t>F2505</t>
  </si>
  <si>
    <t>migration_folio_1080_COMPLETE.json</t>
  </si>
  <si>
    <t>F2564</t>
  </si>
  <si>
    <t>migration_folio_1041_COMPLETE.json</t>
  </si>
  <si>
    <t>F2527</t>
  </si>
  <si>
    <t>ITEM_0642054251</t>
  </si>
  <si>
    <t>ALOE QX ALOE VERA 87%  + 13% GOMA BB</t>
  </si>
  <si>
    <t>migration_folio_953_COMPLETE.json</t>
  </si>
  <si>
    <t>F2436</t>
  </si>
  <si>
    <t>ITEM_0642205241</t>
  </si>
  <si>
    <t>ALOE VERA 87%  + 13% GOMA BB</t>
  </si>
  <si>
    <t>migration_folio_973_COMPLETE.json</t>
  </si>
  <si>
    <t>F2455</t>
  </si>
  <si>
    <t>ITEM_0642242241</t>
  </si>
  <si>
    <t>migration_folio_826_COMPLETE.json</t>
  </si>
  <si>
    <t>F2305</t>
  </si>
  <si>
    <t>ITEM_0703044241</t>
  </si>
  <si>
    <t>INNOVALOE JUGOS Y CONCENTRADOS INNOVALOE ALOE VERA GEL CONCNETRATE 20:1</t>
  </si>
  <si>
    <t>migration_folio_1056_COMPLETE.json</t>
  </si>
  <si>
    <t>F2530</t>
  </si>
  <si>
    <t>ITEM_0705049251</t>
  </si>
  <si>
    <t>INNOVALOE JUGOS Y CONCENTRADOS INNOVALOE ALOE VERA GEL JUICE 1:1 ORGANIC</t>
  </si>
  <si>
    <t>migration_folio_842_COMPLETE.json</t>
  </si>
  <si>
    <t>F2323</t>
  </si>
  <si>
    <t>ITEM_0705094241</t>
  </si>
  <si>
    <t>migration_folio_670_COMPLETE.json</t>
  </si>
  <si>
    <t>F2134</t>
  </si>
  <si>
    <t>ITEM_0705110231</t>
  </si>
  <si>
    <t>migration_folio_1125_COMPLETE.json</t>
  </si>
  <si>
    <t>F2607</t>
  </si>
  <si>
    <t>ITEM_0705130251</t>
  </si>
  <si>
    <t>migration_folio_931_COMPLETE.json</t>
  </si>
  <si>
    <t>F2405</t>
  </si>
  <si>
    <t>ITEM_0705179241</t>
  </si>
  <si>
    <t>migration_folio_1010_COMPLETE.json</t>
  </si>
  <si>
    <t>F2453</t>
  </si>
  <si>
    <t>ITEM_0705233241</t>
  </si>
  <si>
    <t>migration_folio_1043_COMPLETE.json</t>
  </si>
  <si>
    <t>ITEM_0709001251</t>
  </si>
  <si>
    <t>INNOVALOE JUGOS Y CONCENTRADOS INNOVALOE ALOE VERA GEL JUICE 1:1</t>
  </si>
  <si>
    <t>migration_folio_921_COMPLETE.json</t>
  </si>
  <si>
    <t>F2403</t>
  </si>
  <si>
    <t>ITEM_0709187241</t>
  </si>
  <si>
    <t>ITEM_0722002251</t>
  </si>
  <si>
    <t>INNOVALOE JUGOS Y CONCENTRADOS INNOVALEO ALOE VERA GEL CONCENTRATE 10:1</t>
  </si>
  <si>
    <t>migration_folio_1045_COMPLETE.json</t>
  </si>
  <si>
    <t>F2524</t>
  </si>
  <si>
    <t>ITEM_0722041251</t>
  </si>
  <si>
    <t>migration_folio_746_COMPLETE.json</t>
  </si>
  <si>
    <t>F2221</t>
  </si>
  <si>
    <t>ITEM_0722164231</t>
  </si>
  <si>
    <t>migration_folio_799_COMPLETE.json</t>
  </si>
  <si>
    <t>F2279</t>
  </si>
  <si>
    <t>ITEM_0726035241</t>
  </si>
  <si>
    <t>INNOVALOE JUGOS Y CONCENTRADOS INNOVALOE ALOE VERA GEL CONCENTRATE 10:1</t>
  </si>
  <si>
    <t>ITEM_0726095241</t>
  </si>
  <si>
    <t>migration_folio_745_COMPLETE.json</t>
  </si>
  <si>
    <t>F2220</t>
  </si>
  <si>
    <t>ITEM_0726153231</t>
  </si>
  <si>
    <t>ITEM_0726210241</t>
  </si>
  <si>
    <t>INNOVALOE ALOE VERA GEL CONCENTRATE 10:1</t>
  </si>
  <si>
    <t>migration_folio_809_COMPLETE.json</t>
  </si>
  <si>
    <t>F2285</t>
  </si>
  <si>
    <t>ITEM_0729045241</t>
  </si>
  <si>
    <t>migration_folio_861_COMPLETE.json</t>
  </si>
  <si>
    <t>F2340</t>
  </si>
  <si>
    <t>ITEM_0729115241</t>
  </si>
  <si>
    <t>migration_folio_895_COMPLETE.json</t>
  </si>
  <si>
    <t>F2374</t>
  </si>
  <si>
    <t>ITEM_0729155241</t>
  </si>
  <si>
    <t>migration_folio_902_COMPLETE.json</t>
  </si>
  <si>
    <t>F2383</t>
  </si>
  <si>
    <t>ITEM_0729163241</t>
  </si>
  <si>
    <t>migration_folio_1011_COMPLETE.json</t>
  </si>
  <si>
    <t>F2464</t>
  </si>
  <si>
    <t>ITEM_0729246241</t>
  </si>
  <si>
    <t>migration_folio_1012_COMPLETE.json</t>
  </si>
  <si>
    <t>F2466</t>
  </si>
  <si>
    <t>ITEM_0801060231</t>
  </si>
  <si>
    <t>INNOVALOE ALOE VERA GEL FREEZE DRIED POWDER 200:1 ORGANIC</t>
  </si>
  <si>
    <t>migration_folio_763_COMPLETE.json</t>
  </si>
  <si>
    <t>F2238</t>
  </si>
  <si>
    <t>ITEM_0803005241</t>
  </si>
  <si>
    <t>INNOVALOE ALOE VERA GEL FEEZE POWDER 200:1 ORGANIC ORGANIC INNER LEAF ALOE VERA</t>
  </si>
  <si>
    <t>migration_folio_992_COMPLETE.json</t>
  </si>
  <si>
    <t>F2479</t>
  </si>
  <si>
    <t>ITEM_0803008251</t>
  </si>
  <si>
    <t>migration_folio_540_COMPLETE.json</t>
  </si>
  <si>
    <t>F2039</t>
  </si>
  <si>
    <t>ITEM_0803054231</t>
  </si>
  <si>
    <t>migration_folio_546_COMPLETE.json</t>
  </si>
  <si>
    <t>F2045</t>
  </si>
  <si>
    <t>migration_folio_1057_COMPLETE.json</t>
  </si>
  <si>
    <t>F2534</t>
  </si>
  <si>
    <t>ITEM_0803066251</t>
  </si>
  <si>
    <t>ORGANIC INNER LEAF ALOE VERA</t>
  </si>
  <si>
    <t>migration_folio_1060_COMPLETE.json</t>
  </si>
  <si>
    <t>F2542</t>
  </si>
  <si>
    <t>migration_folio_1079_COMPLETE.json</t>
  </si>
  <si>
    <t>F2562</t>
  </si>
  <si>
    <t>ITEM_0803092251</t>
  </si>
  <si>
    <t>migration_folio_852_COMPLETE.json</t>
  </si>
  <si>
    <t>F2332</t>
  </si>
  <si>
    <t>ITEM_0803117241</t>
  </si>
  <si>
    <t>ORGANIC INNER LEAF ALOE VERA POWDER</t>
  </si>
  <si>
    <t>migration_folio_672_COMPLETE.json</t>
  </si>
  <si>
    <t>F2138</t>
  </si>
  <si>
    <t>ITEM_0803119231</t>
  </si>
  <si>
    <t>migration_folio_1151_COMPLETE.json</t>
  </si>
  <si>
    <t>F2639</t>
  </si>
  <si>
    <t>ITEM_0803157251</t>
  </si>
  <si>
    <t>ORGANIC ORGANIC INNER LEAF ALOE VERA</t>
  </si>
  <si>
    <t>migration_folio_918_COMPLETE.json</t>
  </si>
  <si>
    <t>F2398</t>
  </si>
  <si>
    <t>ITEM_0803183241</t>
  </si>
  <si>
    <t>migration_folio_949_COMPLETE.json</t>
  </si>
  <si>
    <t>F2422</t>
  </si>
  <si>
    <t>ITEM_0803208241</t>
  </si>
  <si>
    <t>migration_folio_971_COMPLETE.json</t>
  </si>
  <si>
    <t>F2451</t>
  </si>
  <si>
    <t>ITEM_0803236241</t>
  </si>
  <si>
    <t>ITEM_0933064251</t>
  </si>
  <si>
    <t>ALOE ACETYPOL ALOE ACETYPOL 15/20</t>
  </si>
  <si>
    <t>migration_folio_924_COMPLETE.json</t>
  </si>
  <si>
    <t>F2406</t>
  </si>
  <si>
    <t>ITEM_0933189241</t>
  </si>
  <si>
    <t>migration_folio_761_COMPLETE.json</t>
  </si>
  <si>
    <t>F2236</t>
  </si>
  <si>
    <t>ITEM_1207003241</t>
  </si>
  <si>
    <t>Aloina Aloe Vera Extract 10:90</t>
  </si>
  <si>
    <t>migration_folio_68_COMPLETE.json</t>
  </si>
  <si>
    <t>F1529</t>
  </si>
  <si>
    <t>migration_folio_777_COMPLETE.json</t>
  </si>
  <si>
    <t>F2259</t>
  </si>
  <si>
    <t>ITEM_1207022241</t>
  </si>
  <si>
    <t>migration_folio_394_COMPLETE.json</t>
  </si>
  <si>
    <t>F1877</t>
  </si>
  <si>
    <t>ITEM_1207028221</t>
  </si>
  <si>
    <t>migration_folio_558_COMPLETE.json</t>
  </si>
  <si>
    <t>F2061</t>
  </si>
  <si>
    <t>ITEM_1207031231</t>
  </si>
  <si>
    <t>migration_folio_564_COMPLETE.json</t>
  </si>
  <si>
    <t>F2071</t>
  </si>
  <si>
    <t>migration_folio_615_COMPLETE.json</t>
  </si>
  <si>
    <t>F2060</t>
  </si>
  <si>
    <t>migration_folio_1031_COMPLETE.json</t>
  </si>
  <si>
    <t>F2512</t>
  </si>
  <si>
    <t>ITEM_1207043251</t>
  </si>
  <si>
    <t>migration_folio_817_COMPLETE.json</t>
  </si>
  <si>
    <t>F2297</t>
  </si>
  <si>
    <t>ITEM_1207070241</t>
  </si>
  <si>
    <t>migration_folio_666_COMPLETE.json</t>
  </si>
  <si>
    <t>F2131</t>
  </si>
  <si>
    <t>ITEM_1207116231</t>
  </si>
  <si>
    <t>migration_folio_1096_COMPLETE.json</t>
  </si>
  <si>
    <t>F2587</t>
  </si>
  <si>
    <t>ITEM_1207122251</t>
  </si>
  <si>
    <t>migration_folio_687_COMPLETE.json</t>
  </si>
  <si>
    <t>F2154</t>
  </si>
  <si>
    <t>ITEM_1207127231</t>
  </si>
  <si>
    <t>migration_folio_435_COMPLETE.json</t>
  </si>
  <si>
    <t>F1921</t>
  </si>
  <si>
    <t>ITEM_1207133221</t>
  </si>
  <si>
    <t>migration_folio_463_COMPLETE.json</t>
  </si>
  <si>
    <t>F1949</t>
  </si>
  <si>
    <t>migration_folio_470_COMPLETE.json</t>
  </si>
  <si>
    <t>F1957</t>
  </si>
  <si>
    <t>migration_folio_486_COMPLETE.json</t>
  </si>
  <si>
    <t>F1973</t>
  </si>
  <si>
    <t>migration_folio_487_COMPLETE.json</t>
  </si>
  <si>
    <t>F1974</t>
  </si>
  <si>
    <t>migration_folio_496_COMPLETE.json</t>
  </si>
  <si>
    <t>F1987</t>
  </si>
  <si>
    <t>migration_folio_504_COMPLETE.json</t>
  </si>
  <si>
    <t>F1995</t>
  </si>
  <si>
    <t>migration_folio_513_COMPLETE.json</t>
  </si>
  <si>
    <t>F2004</t>
  </si>
  <si>
    <t>migration_folio_642_COMPLETE.json</t>
  </si>
  <si>
    <t>F1919</t>
  </si>
  <si>
    <t>migration_folio_701_COMPLETE.json</t>
  </si>
  <si>
    <t>F2171</t>
  </si>
  <si>
    <t>ITEM_1207140231</t>
  </si>
  <si>
    <t>migration_folio_251_COMPLETE.json</t>
  </si>
  <si>
    <t>F1727</t>
  </si>
  <si>
    <t>ITEM_1207148211</t>
  </si>
  <si>
    <t>migration_folio_905_COMPLETE.json</t>
  </si>
  <si>
    <t>F2387</t>
  </si>
  <si>
    <t>ITEM_1207168241</t>
  </si>
  <si>
    <t>migration_folio_730_COMPLETE.json</t>
  </si>
  <si>
    <t>F2204</t>
  </si>
  <si>
    <t>ITEM_1207169231</t>
  </si>
  <si>
    <t>migration_folio_1153_COMPLETE.json</t>
  </si>
  <si>
    <t>F2643</t>
  </si>
  <si>
    <t>ITEM_1207183251</t>
  </si>
  <si>
    <t>migration_folio_962_COMPLETE.json</t>
  </si>
  <si>
    <t>F2442</t>
  </si>
  <si>
    <t>ITEM_1207224241</t>
  </si>
  <si>
    <t>migration_folio_997_COMPLETE.json</t>
  </si>
  <si>
    <t>F2486</t>
  </si>
  <si>
    <t>ITEM_1207263241</t>
  </si>
  <si>
    <t>migration_folio_535_COMPLETE.json</t>
  </si>
  <si>
    <t>F2034</t>
  </si>
  <si>
    <t>ITEM_1302049231</t>
  </si>
  <si>
    <t>migration_folio_537_COMPLETE.json</t>
  </si>
  <si>
    <t>F2036</t>
  </si>
  <si>
    <t>migration_folio_542_COMPLETE.json</t>
  </si>
  <si>
    <t>F2041</t>
  </si>
  <si>
    <t>migration_folio_559_COMPLETE.json</t>
  </si>
  <si>
    <t>F2066</t>
  </si>
  <si>
    <t>migration_folio_616_COMPLETE.json</t>
  </si>
  <si>
    <t>F2063</t>
  </si>
  <si>
    <t>migration_folio_617_COMPLETE.json</t>
  </si>
  <si>
    <t>F2064</t>
  </si>
  <si>
    <t>migration_folio_618_COMPLETE.json</t>
  </si>
  <si>
    <t>F2065</t>
  </si>
  <si>
    <t>migration_folio_533_COMPLETE.json</t>
  </si>
  <si>
    <t>F2032</t>
  </si>
  <si>
    <t>ITEM_1310053231</t>
  </si>
  <si>
    <t>migration_folio_534_COMPLETE.json</t>
  </si>
  <si>
    <t>F2033</t>
  </si>
  <si>
    <t>migration_folio_626_COMPLETE.json</t>
  </si>
  <si>
    <t>F2111</t>
  </si>
  <si>
    <t>ITEM_1310099231</t>
  </si>
  <si>
    <t>migration_folio_669_COMPLETE.json</t>
  </si>
  <si>
    <t>F2128</t>
  </si>
  <si>
    <t>file_name</t>
  </si>
  <si>
    <t>cliente</t>
  </si>
  <si>
    <t>factura</t>
  </si>
  <si>
    <t>fecha</t>
  </si>
  <si>
    <t>moneda</t>
  </si>
  <si>
    <t>item_code</t>
  </si>
  <si>
    <t>descripcion</t>
  </si>
  <si>
    <t>cantidad</t>
  </si>
  <si>
    <t>precio</t>
  </si>
  <si>
    <t>ITEM_</t>
  </si>
  <si>
    <t>ACIDO MALICO</t>
  </si>
  <si>
    <t>migration_folio_849_COMPLETE.json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</si>
</sst>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"/>
    <numFmt numFmtId="165" formatCode="yyyy\-mm\-dd"/>
    <numFmt numFmtId="166" formatCode="0000000000"/>
    <numFmt numFmtId="167" formatCode="&quot;$&quot;#,##0.00"/>
    <numFmt numFmtId="168" formatCode="yyyy-mm-dd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u/>
      <sz val="10.0"/>
      <color rgb="FF99B5E6"/>
      <name val="Arial"/>
    </font>
    <font/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FDE49A"/>
        <bgColor rgb="FFFDE49A"/>
      </patternFill>
    </fill>
    <fill>
      <patternFill patternType="solid">
        <fgColor rgb="FFF28E85"/>
        <bgColor rgb="FFF28E85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0" xfId="0" applyAlignment="1" applyFont="1">
      <alignment readingOrder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1" numFmtId="165" xfId="0" applyBorder="1" applyFont="1" applyNumberFormat="1"/>
    <xf borderId="1" fillId="2" fontId="1" numFmtId="166" xfId="0" applyBorder="1" applyFont="1" applyNumberFormat="1"/>
    <xf borderId="1" fillId="2" fontId="1" numFmtId="167" xfId="0" applyBorder="1" applyFont="1" applyNumberFormat="1"/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3" fontId="1" numFmtId="0" xfId="0" applyBorder="1" applyFill="1" applyFont="1"/>
    <xf borderId="1" fillId="4" fontId="1" numFmtId="164" xfId="0" applyBorder="1" applyFill="1" applyFont="1" applyNumberFormat="1"/>
    <xf borderId="1" fillId="3" fontId="1" numFmtId="165" xfId="0" applyBorder="1" applyFont="1" applyNumberFormat="1"/>
    <xf borderId="1" fillId="3" fontId="1" numFmtId="166" xfId="0" applyBorder="1" applyFont="1" applyNumberFormat="1"/>
    <xf borderId="1" fillId="3" fontId="3" numFmtId="164" xfId="0" applyBorder="1" applyFont="1" applyNumberFormat="1"/>
    <xf borderId="1" fillId="3" fontId="1" numFmtId="167" xfId="0" applyBorder="1" applyFont="1" applyNumberFormat="1"/>
    <xf borderId="0" fillId="0" fontId="2" numFmtId="167" xfId="0" applyFont="1" applyNumberFormat="1"/>
    <xf borderId="1" fillId="5" fontId="1" numFmtId="0" xfId="0" applyBorder="1" applyFill="1" applyFont="1"/>
    <xf borderId="1" fillId="5" fontId="1" numFmtId="164" xfId="0" applyBorder="1" applyFont="1" applyNumberFormat="1"/>
    <xf borderId="2" fillId="5" fontId="1" numFmtId="0" xfId="0" applyAlignment="1" applyBorder="1" applyFont="1">
      <alignment horizontal="center" vertical="center"/>
    </xf>
    <xf borderId="3" fillId="0" fontId="4" numFmtId="0" xfId="0" applyBorder="1" applyFont="1"/>
    <xf borderId="1" fillId="6" fontId="1" numFmtId="0" xfId="0" applyBorder="1" applyFill="1" applyFont="1"/>
    <xf borderId="1" fillId="6" fontId="1" numFmtId="164" xfId="0" applyBorder="1" applyFont="1" applyNumberFormat="1"/>
    <xf borderId="0" fillId="0" fontId="5" numFmtId="0" xfId="0" applyFont="1"/>
    <xf borderId="1" fillId="7" fontId="1" numFmtId="0" xfId="0" applyBorder="1" applyFill="1" applyFont="1"/>
    <xf borderId="1" fillId="7" fontId="1" numFmtId="164" xfId="0" applyBorder="1" applyFont="1" applyNumberFormat="1"/>
    <xf borderId="1" fillId="7" fontId="1" numFmtId="165" xfId="0" applyBorder="1" applyFont="1" applyNumberFormat="1"/>
    <xf borderId="1" fillId="7" fontId="1" numFmtId="166" xfId="0" applyBorder="1" applyFont="1" applyNumberFormat="1"/>
    <xf borderId="1" fillId="3" fontId="1" numFmtId="164" xfId="0" applyBorder="1" applyFont="1" applyNumberFormat="1"/>
    <xf borderId="0" fillId="0" fontId="2" numFmtId="0" xfId="0" applyFont="1"/>
    <xf borderId="0" fillId="0" fontId="2" numFmtId="168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ysmayal.v.frappe.cloud/app/item/0307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13"/>
    <col customWidth="1" min="2" max="2" width="8.25"/>
    <col customWidth="1" min="3" max="3" width="12.63"/>
    <col customWidth="1" min="4" max="4" width="10.13"/>
    <col customWidth="1" hidden="1" min="5" max="5" width="12.63"/>
    <col customWidth="1" hidden="1" min="6" max="6" width="8.75"/>
    <col customWidth="1" min="7" max="7" width="11.0"/>
    <col customWidth="1" min="8" max="8" width="17.0"/>
    <col customWidth="1" hidden="1" min="9" max="9" width="5.63"/>
    <col customWidth="1" min="10" max="10" width="40.5"/>
    <col customWidth="1" min="13" max="13" width="8.38"/>
  </cols>
  <sheetData>
    <row r="1" ht="15.75" hidden="1" customHeight="1">
      <c r="A1" s="1" t="s">
        <v>0</v>
      </c>
      <c r="B1" s="2">
        <v>136.0</v>
      </c>
      <c r="C1" s="1" t="s">
        <v>1</v>
      </c>
      <c r="D1" s="1" t="s">
        <v>2</v>
      </c>
      <c r="E1" s="3">
        <v>44432.0</v>
      </c>
      <c r="F1" s="1" t="s">
        <v>3</v>
      </c>
      <c r="G1" s="4">
        <v>1.24019211E8</v>
      </c>
      <c r="H1" s="1" t="s">
        <v>4</v>
      </c>
      <c r="I1" s="2"/>
      <c r="J1" s="1" t="s">
        <v>5</v>
      </c>
      <c r="K1" s="1">
        <v>10.0</v>
      </c>
      <c r="L1" s="1"/>
      <c r="M1" s="5">
        <v>65.0</v>
      </c>
    </row>
    <row r="2" ht="15.75" hidden="1" customHeight="1">
      <c r="A2" s="1" t="s">
        <v>6</v>
      </c>
      <c r="B2" s="2">
        <v>13.0</v>
      </c>
      <c r="C2" s="1" t="s">
        <v>7</v>
      </c>
      <c r="D2" s="1" t="s">
        <v>8</v>
      </c>
      <c r="E2" s="3">
        <v>44417.0</v>
      </c>
      <c r="F2" s="1" t="s">
        <v>3</v>
      </c>
      <c r="G2" s="4">
        <v>2.01002211E8</v>
      </c>
      <c r="I2" s="2"/>
      <c r="J2" s="1" t="s">
        <v>9</v>
      </c>
      <c r="K2" s="1">
        <v>10.0</v>
      </c>
      <c r="L2" s="1"/>
      <c r="M2" s="5">
        <v>90.0</v>
      </c>
    </row>
    <row r="3" ht="15.75" hidden="1" customHeight="1">
      <c r="A3" s="1" t="s">
        <v>10</v>
      </c>
      <c r="B3" s="2">
        <v>16.0</v>
      </c>
      <c r="C3" s="1" t="s">
        <v>11</v>
      </c>
      <c r="D3" s="1" t="s">
        <v>12</v>
      </c>
      <c r="E3" s="3">
        <v>44417.0</v>
      </c>
      <c r="F3" s="1" t="s">
        <v>3</v>
      </c>
      <c r="G3" s="4">
        <v>2.01006211E8</v>
      </c>
      <c r="I3" s="2"/>
      <c r="J3" s="1" t="s">
        <v>9</v>
      </c>
      <c r="K3" s="1">
        <v>30.0</v>
      </c>
      <c r="L3" s="1"/>
      <c r="M3" s="5">
        <v>109.0</v>
      </c>
    </row>
    <row r="4" ht="15.75" hidden="1" customHeight="1">
      <c r="A4" s="1" t="s">
        <v>13</v>
      </c>
      <c r="B4" s="2">
        <v>20.0</v>
      </c>
      <c r="C4" s="1" t="s">
        <v>14</v>
      </c>
      <c r="D4" s="1" t="s">
        <v>15</v>
      </c>
      <c r="E4" s="3">
        <v>44417.0</v>
      </c>
      <c r="F4" s="1" t="s">
        <v>3</v>
      </c>
      <c r="G4" s="4">
        <v>2.01009211E8</v>
      </c>
      <c r="I4" s="2"/>
      <c r="J4" s="1" t="s">
        <v>16</v>
      </c>
      <c r="K4" s="1">
        <v>1000.0</v>
      </c>
      <c r="L4" s="1"/>
      <c r="M4" s="5">
        <v>103.46</v>
      </c>
    </row>
    <row r="5" ht="15.75" hidden="1" customHeight="1">
      <c r="A5" s="1" t="s">
        <v>17</v>
      </c>
      <c r="B5" s="2">
        <v>23.0</v>
      </c>
      <c r="C5" s="1" t="s">
        <v>18</v>
      </c>
      <c r="D5" s="1" t="s">
        <v>19</v>
      </c>
      <c r="E5" s="3">
        <v>44417.0</v>
      </c>
      <c r="F5" s="1" t="s">
        <v>3</v>
      </c>
      <c r="G5" s="4">
        <v>2.01009211E8</v>
      </c>
      <c r="I5" s="2"/>
      <c r="J5" s="1" t="s">
        <v>16</v>
      </c>
      <c r="K5" s="1">
        <v>2000.0</v>
      </c>
      <c r="L5" s="1"/>
      <c r="M5" s="5">
        <v>103.46</v>
      </c>
    </row>
    <row r="6" ht="15.75" hidden="1" customHeight="1">
      <c r="A6" s="1" t="s">
        <v>20</v>
      </c>
      <c r="B6" s="2">
        <v>269.0</v>
      </c>
      <c r="C6" s="1" t="s">
        <v>14</v>
      </c>
      <c r="D6" s="1" t="s">
        <v>21</v>
      </c>
      <c r="E6" s="3">
        <v>44588.0</v>
      </c>
      <c r="F6" s="1" t="s">
        <v>3</v>
      </c>
      <c r="G6" s="4">
        <v>2.01009221E8</v>
      </c>
      <c r="H6" s="1" t="s">
        <v>22</v>
      </c>
      <c r="I6" s="2"/>
      <c r="J6" s="1" t="s">
        <v>16</v>
      </c>
      <c r="K6" s="1">
        <v>2000.0</v>
      </c>
      <c r="L6" s="1"/>
      <c r="M6" s="5">
        <v>103.46</v>
      </c>
    </row>
    <row r="7" ht="15.75" hidden="1" customHeight="1">
      <c r="A7" s="1" t="s">
        <v>23</v>
      </c>
      <c r="B7" s="2">
        <v>274.0</v>
      </c>
      <c r="C7" s="1" t="s">
        <v>7</v>
      </c>
      <c r="D7" s="1" t="s">
        <v>24</v>
      </c>
      <c r="E7" s="3">
        <v>44592.0</v>
      </c>
      <c r="F7" s="1" t="s">
        <v>3</v>
      </c>
      <c r="G7" s="4">
        <v>2.01015221E8</v>
      </c>
      <c r="H7" s="1" t="s">
        <v>25</v>
      </c>
      <c r="I7" s="2"/>
      <c r="J7" s="1" t="s">
        <v>16</v>
      </c>
      <c r="K7" s="1">
        <v>10.0</v>
      </c>
      <c r="L7" s="1"/>
      <c r="M7" s="5">
        <v>90.0</v>
      </c>
    </row>
    <row r="8" ht="15.75" hidden="1" customHeight="1">
      <c r="A8" s="1" t="s">
        <v>26</v>
      </c>
      <c r="B8" s="2">
        <v>283.0</v>
      </c>
      <c r="C8" s="1" t="s">
        <v>27</v>
      </c>
      <c r="D8" s="1" t="s">
        <v>28</v>
      </c>
      <c r="E8" s="3">
        <v>44606.0</v>
      </c>
      <c r="F8" s="1" t="s">
        <v>3</v>
      </c>
      <c r="G8" s="4">
        <v>2.01022221E8</v>
      </c>
      <c r="H8" s="1" t="s">
        <v>29</v>
      </c>
      <c r="I8" s="2"/>
      <c r="J8" s="1" t="s">
        <v>16</v>
      </c>
      <c r="K8" s="1">
        <v>300.0</v>
      </c>
      <c r="L8" s="1"/>
      <c r="M8" s="5">
        <v>110.19</v>
      </c>
    </row>
    <row r="9" ht="15.75" hidden="1" customHeight="1">
      <c r="A9" s="1" t="s">
        <v>30</v>
      </c>
      <c r="B9" s="2">
        <v>37.0</v>
      </c>
      <c r="C9" s="1" t="s">
        <v>31</v>
      </c>
      <c r="D9" s="1" t="s">
        <v>32</v>
      </c>
      <c r="E9" s="3">
        <v>44417.0</v>
      </c>
      <c r="F9" s="1" t="s">
        <v>3</v>
      </c>
      <c r="G9" s="4">
        <v>2.01025211E8</v>
      </c>
      <c r="I9" s="2"/>
      <c r="J9" s="1" t="s">
        <v>9</v>
      </c>
      <c r="K9" s="1">
        <v>120.0</v>
      </c>
      <c r="L9" s="1"/>
      <c r="M9" s="5">
        <v>79.25</v>
      </c>
    </row>
    <row r="10" ht="15.75" hidden="1" customHeight="1">
      <c r="A10" s="1" t="s">
        <v>33</v>
      </c>
      <c r="B10" s="2">
        <v>39.0</v>
      </c>
      <c r="C10" s="1" t="s">
        <v>7</v>
      </c>
      <c r="D10" s="1" t="s">
        <v>34</v>
      </c>
      <c r="E10" s="3">
        <v>44417.0</v>
      </c>
      <c r="F10" s="1" t="s">
        <v>3</v>
      </c>
      <c r="G10" s="4">
        <v>2.01028211E8</v>
      </c>
      <c r="I10" s="2"/>
      <c r="J10" s="1" t="s">
        <v>9</v>
      </c>
      <c r="K10" s="1">
        <v>10.0</v>
      </c>
      <c r="L10" s="1"/>
      <c r="M10" s="5">
        <v>90.0</v>
      </c>
    </row>
    <row r="11" ht="15.75" hidden="1" customHeight="1">
      <c r="A11" s="1" t="s">
        <v>35</v>
      </c>
      <c r="B11" s="2">
        <v>289.0</v>
      </c>
      <c r="C11" s="1" t="s">
        <v>11</v>
      </c>
      <c r="D11" s="1" t="s">
        <v>36</v>
      </c>
      <c r="E11" s="3">
        <v>44615.0</v>
      </c>
      <c r="F11" s="1" t="s">
        <v>3</v>
      </c>
      <c r="G11" s="4">
        <v>2.01030221E8</v>
      </c>
      <c r="H11" s="1" t="s">
        <v>37</v>
      </c>
      <c r="I11" s="2"/>
      <c r="J11" s="1" t="s">
        <v>16</v>
      </c>
      <c r="K11" s="1">
        <v>50.0</v>
      </c>
      <c r="L11" s="1"/>
      <c r="M11" s="5">
        <v>105.01</v>
      </c>
    </row>
    <row r="12" ht="15.75" hidden="1" customHeight="1">
      <c r="A12" s="1" t="s">
        <v>38</v>
      </c>
      <c r="B12" s="2">
        <v>294.0</v>
      </c>
      <c r="C12" s="1" t="s">
        <v>39</v>
      </c>
      <c r="D12" s="1" t="s">
        <v>40</v>
      </c>
      <c r="E12" s="3">
        <v>44621.0</v>
      </c>
      <c r="F12" s="1" t="s">
        <v>3</v>
      </c>
      <c r="G12" s="4">
        <v>2.01031221E8</v>
      </c>
      <c r="H12" s="1" t="s">
        <v>41</v>
      </c>
      <c r="I12" s="2"/>
      <c r="J12" s="1" t="s">
        <v>16</v>
      </c>
      <c r="K12" s="1">
        <v>1200.0</v>
      </c>
      <c r="L12" s="1"/>
      <c r="M12" s="5">
        <v>99.0</v>
      </c>
    </row>
    <row r="13" ht="15.75" hidden="1" customHeight="1">
      <c r="A13" s="1" t="s">
        <v>42</v>
      </c>
      <c r="B13" s="2">
        <v>106.0</v>
      </c>
      <c r="C13" s="1" t="s">
        <v>43</v>
      </c>
      <c r="D13" s="1" t="s">
        <v>44</v>
      </c>
      <c r="E13" s="3">
        <v>44419.0</v>
      </c>
      <c r="F13" s="1" t="s">
        <v>3</v>
      </c>
      <c r="G13" s="4">
        <v>2.01033211E8</v>
      </c>
      <c r="H13" s="1" t="s">
        <v>45</v>
      </c>
      <c r="I13" s="2"/>
      <c r="J13" s="1" t="s">
        <v>9</v>
      </c>
      <c r="K13" s="1">
        <v>5.0</v>
      </c>
      <c r="L13" s="1"/>
      <c r="M13" s="5">
        <v>125.87</v>
      </c>
    </row>
    <row r="14" ht="15.75" hidden="1" customHeight="1">
      <c r="A14" s="1" t="s">
        <v>46</v>
      </c>
      <c r="B14" s="2">
        <v>152.0</v>
      </c>
      <c r="C14" s="1" t="s">
        <v>47</v>
      </c>
      <c r="D14" s="1" t="s">
        <v>48</v>
      </c>
      <c r="E14" s="3">
        <v>44438.0</v>
      </c>
      <c r="F14" s="1" t="s">
        <v>3</v>
      </c>
      <c r="G14" s="4">
        <v>2.01033211E8</v>
      </c>
      <c r="H14" s="1" t="s">
        <v>45</v>
      </c>
      <c r="I14" s="2"/>
      <c r="J14" s="1" t="s">
        <v>9</v>
      </c>
      <c r="K14" s="1">
        <v>10.0</v>
      </c>
      <c r="L14" s="1"/>
      <c r="M14" s="5">
        <v>115.0</v>
      </c>
    </row>
    <row r="15" ht="15.75" hidden="1" customHeight="1">
      <c r="A15" s="1" t="s">
        <v>49</v>
      </c>
      <c r="B15" s="2">
        <v>76.0</v>
      </c>
      <c r="C15" s="1" t="s">
        <v>50</v>
      </c>
      <c r="D15" s="1" t="s">
        <v>51</v>
      </c>
      <c r="E15" s="3">
        <v>44418.0</v>
      </c>
      <c r="F15" s="1" t="s">
        <v>3</v>
      </c>
      <c r="G15" s="4">
        <v>2.01034211E8</v>
      </c>
      <c r="I15" s="2"/>
      <c r="J15" s="1" t="s">
        <v>16</v>
      </c>
      <c r="K15" s="1">
        <v>300.0</v>
      </c>
      <c r="L15" s="1"/>
      <c r="M15" s="5">
        <v>170.0</v>
      </c>
    </row>
    <row r="16" ht="15.75" hidden="1" customHeight="1">
      <c r="A16" s="1" t="s">
        <v>52</v>
      </c>
      <c r="B16" s="2">
        <v>70.0</v>
      </c>
      <c r="C16" s="1" t="s">
        <v>14</v>
      </c>
      <c r="D16" s="1" t="s">
        <v>53</v>
      </c>
      <c r="E16" s="3">
        <v>44418.0</v>
      </c>
      <c r="F16" s="1" t="s">
        <v>3</v>
      </c>
      <c r="G16" s="4">
        <v>2.01036211E8</v>
      </c>
      <c r="I16" s="2"/>
      <c r="J16" s="1" t="s">
        <v>16</v>
      </c>
      <c r="K16" s="1">
        <v>2000.0</v>
      </c>
      <c r="L16" s="1"/>
      <c r="M16" s="5">
        <v>103.46</v>
      </c>
    </row>
    <row r="17" ht="15.75" hidden="1" customHeight="1">
      <c r="A17" s="1" t="s">
        <v>54</v>
      </c>
      <c r="B17" s="2">
        <v>301.0</v>
      </c>
      <c r="C17" s="1" t="s">
        <v>55</v>
      </c>
      <c r="D17" s="1" t="s">
        <v>56</v>
      </c>
      <c r="E17" s="3">
        <v>44630.0</v>
      </c>
      <c r="F17" s="1" t="s">
        <v>3</v>
      </c>
      <c r="G17" s="4">
        <v>2.01040221E8</v>
      </c>
      <c r="H17" s="1" t="s">
        <v>57</v>
      </c>
      <c r="I17" s="2"/>
      <c r="J17" s="1" t="s">
        <v>16</v>
      </c>
      <c r="K17" s="1">
        <v>100.0</v>
      </c>
      <c r="L17" s="1"/>
      <c r="M17" s="5">
        <v>90.0</v>
      </c>
    </row>
    <row r="18" ht="15.75" hidden="1" customHeight="1">
      <c r="A18" s="1" t="s">
        <v>58</v>
      </c>
      <c r="B18" s="2">
        <v>633.0</v>
      </c>
      <c r="C18" s="1" t="s">
        <v>59</v>
      </c>
      <c r="D18" s="1" t="s">
        <v>56</v>
      </c>
      <c r="E18" s="1" t="s">
        <v>60</v>
      </c>
      <c r="F18" s="1" t="s">
        <v>3</v>
      </c>
      <c r="G18" s="4">
        <v>2.01040221E8</v>
      </c>
      <c r="H18" s="1" t="s">
        <v>57</v>
      </c>
      <c r="I18" s="2"/>
      <c r="J18" s="1" t="s">
        <v>16</v>
      </c>
      <c r="K18" s="1">
        <v>100.0</v>
      </c>
      <c r="L18" s="1"/>
      <c r="M18" s="5">
        <v>90.0</v>
      </c>
    </row>
    <row r="19" ht="15.75" hidden="1" customHeight="1">
      <c r="A19" s="1" t="s">
        <v>61</v>
      </c>
      <c r="B19" s="2">
        <v>651.0</v>
      </c>
      <c r="C19" s="1" t="s">
        <v>59</v>
      </c>
      <c r="D19" s="1" t="s">
        <v>62</v>
      </c>
      <c r="E19" s="3">
        <v>44645.0</v>
      </c>
      <c r="F19" s="1" t="s">
        <v>3</v>
      </c>
      <c r="G19" s="4">
        <v>2.01040221E8</v>
      </c>
      <c r="H19" s="1" t="s">
        <v>57</v>
      </c>
      <c r="I19" s="2"/>
      <c r="J19" s="1" t="s">
        <v>16</v>
      </c>
      <c r="K19" s="1">
        <v>100.0</v>
      </c>
      <c r="L19" s="1"/>
      <c r="M19" s="5">
        <v>90.0</v>
      </c>
    </row>
    <row r="20" ht="15.75" hidden="1" customHeight="1">
      <c r="A20" s="1" t="s">
        <v>63</v>
      </c>
      <c r="B20" s="2">
        <v>72.0</v>
      </c>
      <c r="C20" s="1" t="s">
        <v>7</v>
      </c>
      <c r="D20" s="1" t="s">
        <v>64</v>
      </c>
      <c r="E20" s="3">
        <v>44418.0</v>
      </c>
      <c r="F20" s="1" t="s">
        <v>3</v>
      </c>
      <c r="G20" s="4">
        <v>2.01042211E8</v>
      </c>
      <c r="I20" s="2"/>
      <c r="J20" s="1" t="s">
        <v>9</v>
      </c>
      <c r="K20" s="1">
        <v>25.0</v>
      </c>
      <c r="L20" s="1"/>
      <c r="M20" s="5">
        <v>90.0</v>
      </c>
    </row>
    <row r="21" ht="15.75" hidden="1" customHeight="1">
      <c r="A21" s="1" t="s">
        <v>65</v>
      </c>
      <c r="B21" s="2">
        <v>145.0</v>
      </c>
      <c r="C21" s="1" t="s">
        <v>7</v>
      </c>
      <c r="D21" s="1" t="s">
        <v>66</v>
      </c>
      <c r="E21" s="3">
        <v>44438.0</v>
      </c>
      <c r="F21" s="1" t="s">
        <v>3</v>
      </c>
      <c r="G21" s="4">
        <v>2.01042211E8</v>
      </c>
      <c r="H21" s="1" t="s">
        <v>67</v>
      </c>
      <c r="I21" s="2"/>
      <c r="J21" s="1" t="s">
        <v>9</v>
      </c>
      <c r="K21" s="1">
        <v>25.0</v>
      </c>
      <c r="L21" s="1"/>
      <c r="M21" s="5">
        <v>90.0</v>
      </c>
    </row>
    <row r="22" ht="15.75" hidden="1" customHeight="1">
      <c r="A22" s="1" t="s">
        <v>68</v>
      </c>
      <c r="B22" s="2">
        <v>308.0</v>
      </c>
      <c r="C22" s="1" t="s">
        <v>7</v>
      </c>
      <c r="D22" s="1" t="s">
        <v>69</v>
      </c>
      <c r="E22" s="3">
        <v>44638.0</v>
      </c>
      <c r="F22" s="1" t="s">
        <v>3</v>
      </c>
      <c r="G22" s="4">
        <v>2.01044221E8</v>
      </c>
      <c r="H22" s="1" t="s">
        <v>70</v>
      </c>
      <c r="I22" s="2"/>
      <c r="J22" s="1" t="s">
        <v>16</v>
      </c>
      <c r="K22" s="1">
        <v>20.0</v>
      </c>
      <c r="L22" s="1"/>
      <c r="M22" s="5">
        <v>90.0</v>
      </c>
    </row>
    <row r="23" ht="15.75" hidden="1" customHeight="1">
      <c r="A23" s="1" t="s">
        <v>71</v>
      </c>
      <c r="B23" s="2">
        <v>311.0</v>
      </c>
      <c r="C23" s="1" t="s">
        <v>39</v>
      </c>
      <c r="D23" s="1" t="s">
        <v>72</v>
      </c>
      <c r="E23" s="3">
        <v>44645.0</v>
      </c>
      <c r="F23" s="1" t="s">
        <v>3</v>
      </c>
      <c r="G23" s="4">
        <v>2.01045221E8</v>
      </c>
      <c r="H23" s="1" t="s">
        <v>73</v>
      </c>
      <c r="I23" s="2"/>
      <c r="J23" s="1" t="s">
        <v>9</v>
      </c>
      <c r="K23" s="1">
        <v>1200.0</v>
      </c>
      <c r="L23" s="1"/>
      <c r="M23" s="5">
        <v>99.0</v>
      </c>
    </row>
    <row r="24" ht="15.75" hidden="1" customHeight="1">
      <c r="A24" s="1" t="s">
        <v>74</v>
      </c>
      <c r="B24" s="2">
        <v>331.0</v>
      </c>
      <c r="C24" s="1" t="s">
        <v>14</v>
      </c>
      <c r="D24" s="1" t="s">
        <v>75</v>
      </c>
      <c r="E24" s="3">
        <v>44679.0</v>
      </c>
      <c r="F24" s="1" t="s">
        <v>3</v>
      </c>
      <c r="G24" s="4">
        <v>2.01046221E8</v>
      </c>
      <c r="H24" s="1" t="s">
        <v>76</v>
      </c>
      <c r="I24" s="2"/>
      <c r="J24" s="1" t="s">
        <v>16</v>
      </c>
      <c r="K24" s="1">
        <v>3000.0</v>
      </c>
      <c r="L24" s="1"/>
      <c r="M24" s="5">
        <v>103.46</v>
      </c>
    </row>
    <row r="25" ht="15.75" hidden="1" customHeight="1">
      <c r="A25" s="1" t="s">
        <v>77</v>
      </c>
      <c r="B25" s="2">
        <v>649.0</v>
      </c>
      <c r="C25" s="1" t="s">
        <v>14</v>
      </c>
      <c r="D25" s="1" t="s">
        <v>78</v>
      </c>
      <c r="E25" s="3">
        <v>44725.0</v>
      </c>
      <c r="F25" s="1" t="s">
        <v>3</v>
      </c>
      <c r="G25" s="4">
        <v>2.01046221E8</v>
      </c>
      <c r="H25" s="1" t="s">
        <v>76</v>
      </c>
      <c r="I25" s="2"/>
      <c r="J25" s="1" t="s">
        <v>16</v>
      </c>
      <c r="K25" s="1">
        <v>1.0</v>
      </c>
      <c r="L25" s="1"/>
      <c r="M25" s="5">
        <v>14190.0</v>
      </c>
    </row>
    <row r="26" ht="15.75" hidden="1" customHeight="1">
      <c r="A26" s="1" t="s">
        <v>79</v>
      </c>
      <c r="B26" s="2">
        <v>312.0</v>
      </c>
      <c r="C26" s="1" t="s">
        <v>80</v>
      </c>
      <c r="D26" s="1" t="s">
        <v>81</v>
      </c>
      <c r="E26" s="3">
        <v>44649.0</v>
      </c>
      <c r="F26" s="1" t="s">
        <v>3</v>
      </c>
      <c r="G26" s="4">
        <v>2.01047221E8</v>
      </c>
      <c r="H26" s="1" t="s">
        <v>82</v>
      </c>
      <c r="I26" s="2"/>
      <c r="J26" s="1" t="s">
        <v>16</v>
      </c>
      <c r="K26" s="1">
        <v>200.0</v>
      </c>
      <c r="L26" s="1"/>
      <c r="M26" s="5">
        <v>109.01</v>
      </c>
    </row>
    <row r="27" ht="15.75" hidden="1" customHeight="1">
      <c r="A27" s="1" t="s">
        <v>83</v>
      </c>
      <c r="B27" s="2">
        <v>325.0</v>
      </c>
      <c r="C27" s="1" t="s">
        <v>84</v>
      </c>
      <c r="D27" s="1" t="s">
        <v>85</v>
      </c>
      <c r="E27" s="3">
        <v>44671.0</v>
      </c>
      <c r="F27" s="1" t="s">
        <v>86</v>
      </c>
      <c r="G27" s="4">
        <v>2.01048221E8</v>
      </c>
      <c r="H27" s="1" t="s">
        <v>87</v>
      </c>
      <c r="I27" s="2"/>
      <c r="J27" s="1" t="s">
        <v>16</v>
      </c>
      <c r="K27" s="1">
        <v>250.0</v>
      </c>
      <c r="L27" s="1"/>
      <c r="M27" s="5">
        <v>91.74</v>
      </c>
    </row>
    <row r="28" ht="15.75" hidden="1" customHeight="1">
      <c r="A28" s="1" t="s">
        <v>88</v>
      </c>
      <c r="B28" s="2">
        <v>82.0</v>
      </c>
      <c r="C28" s="1" t="s">
        <v>27</v>
      </c>
      <c r="D28" s="1" t="s">
        <v>89</v>
      </c>
      <c r="E28" s="3">
        <v>44418.0</v>
      </c>
      <c r="F28" s="1" t="s">
        <v>86</v>
      </c>
      <c r="G28" s="4">
        <v>2.01049211E8</v>
      </c>
      <c r="I28" s="2"/>
      <c r="J28" s="1" t="s">
        <v>16</v>
      </c>
      <c r="K28" s="1">
        <v>300.0</v>
      </c>
      <c r="L28" s="1"/>
      <c r="M28" s="5">
        <v>92.74</v>
      </c>
    </row>
    <row r="29" ht="15.75" hidden="1" customHeight="1">
      <c r="A29" s="1" t="s">
        <v>90</v>
      </c>
      <c r="B29" s="2">
        <v>86.0</v>
      </c>
      <c r="C29" s="1" t="s">
        <v>27</v>
      </c>
      <c r="D29" s="1" t="s">
        <v>91</v>
      </c>
      <c r="E29" s="3">
        <v>44418.0</v>
      </c>
      <c r="F29" s="1" t="s">
        <v>86</v>
      </c>
      <c r="G29" s="4">
        <v>2.01049211E8</v>
      </c>
      <c r="I29" s="2"/>
      <c r="J29" s="1" t="s">
        <v>16</v>
      </c>
      <c r="K29" s="1">
        <v>500.0</v>
      </c>
      <c r="L29" s="1"/>
      <c r="M29" s="5">
        <v>93.26</v>
      </c>
    </row>
    <row r="30" ht="15.75" hidden="1" customHeight="1">
      <c r="A30" s="1" t="s">
        <v>92</v>
      </c>
      <c r="B30" s="2">
        <v>318.0</v>
      </c>
      <c r="C30" s="1" t="s">
        <v>55</v>
      </c>
      <c r="D30" s="1" t="s">
        <v>93</v>
      </c>
      <c r="E30" s="3">
        <v>44656.0</v>
      </c>
      <c r="F30" s="1" t="s">
        <v>3</v>
      </c>
      <c r="G30" s="4">
        <v>2.01051221E8</v>
      </c>
      <c r="H30" s="1" t="s">
        <v>94</v>
      </c>
      <c r="I30" s="2"/>
      <c r="J30" s="1" t="s">
        <v>16</v>
      </c>
      <c r="K30" s="1">
        <v>100.0</v>
      </c>
      <c r="L30" s="1"/>
      <c r="M30" s="5">
        <v>90.0</v>
      </c>
    </row>
    <row r="31" ht="15.75" hidden="1" customHeight="1">
      <c r="A31" s="1" t="s">
        <v>95</v>
      </c>
      <c r="B31" s="2">
        <v>326.0</v>
      </c>
      <c r="C31" s="1" t="s">
        <v>55</v>
      </c>
      <c r="D31" s="1" t="s">
        <v>96</v>
      </c>
      <c r="E31" s="3">
        <v>44671.0</v>
      </c>
      <c r="F31" s="1" t="s">
        <v>3</v>
      </c>
      <c r="G31" s="4">
        <v>2.01057221E8</v>
      </c>
      <c r="H31" s="1" t="s">
        <v>97</v>
      </c>
      <c r="I31" s="2"/>
      <c r="J31" s="1" t="s">
        <v>16</v>
      </c>
      <c r="K31" s="1">
        <v>100.0</v>
      </c>
      <c r="L31" s="1"/>
      <c r="M31" s="5">
        <v>90.0</v>
      </c>
    </row>
    <row r="32" ht="15.75" hidden="1" customHeight="1">
      <c r="A32" s="1" t="s">
        <v>98</v>
      </c>
      <c r="B32" s="2">
        <v>135.0</v>
      </c>
      <c r="C32" s="1" t="s">
        <v>99</v>
      </c>
      <c r="D32" s="1" t="s">
        <v>100</v>
      </c>
      <c r="E32" s="3">
        <v>44432.0</v>
      </c>
      <c r="F32" s="1" t="s">
        <v>3</v>
      </c>
      <c r="G32" s="4">
        <v>2.01058211E8</v>
      </c>
      <c r="H32" s="1" t="s">
        <v>101</v>
      </c>
      <c r="I32" s="2"/>
      <c r="J32" s="1" t="s">
        <v>9</v>
      </c>
      <c r="K32" s="1">
        <v>6.0</v>
      </c>
      <c r="L32" s="1"/>
      <c r="M32" s="5">
        <v>101.0</v>
      </c>
    </row>
    <row r="33" ht="15.75" hidden="1" customHeight="1">
      <c r="A33" s="1" t="s">
        <v>102</v>
      </c>
      <c r="B33" s="2">
        <v>650.0</v>
      </c>
      <c r="C33" s="1" t="s">
        <v>103</v>
      </c>
      <c r="D33" s="1" t="s">
        <v>104</v>
      </c>
      <c r="E33" s="3">
        <v>44672.0</v>
      </c>
      <c r="F33" s="1" t="s">
        <v>3</v>
      </c>
      <c r="G33" s="4">
        <v>2.01058221E8</v>
      </c>
      <c r="H33" s="1" t="s">
        <v>105</v>
      </c>
      <c r="I33" s="2"/>
      <c r="J33" s="1" t="s">
        <v>16</v>
      </c>
      <c r="K33" s="1">
        <v>0.0</v>
      </c>
      <c r="L33" s="1"/>
      <c r="M33" s="5">
        <v>105.0</v>
      </c>
    </row>
    <row r="34" ht="15.75" hidden="1" customHeight="1">
      <c r="A34" s="1" t="s">
        <v>106</v>
      </c>
      <c r="B34" s="2">
        <v>328.0</v>
      </c>
      <c r="C34" s="1" t="s">
        <v>107</v>
      </c>
      <c r="D34" s="1" t="s">
        <v>108</v>
      </c>
      <c r="E34" s="3">
        <v>44676.0</v>
      </c>
      <c r="F34" s="1" t="s">
        <v>3</v>
      </c>
      <c r="G34" s="4">
        <v>2.01059221E8</v>
      </c>
      <c r="H34" s="1" t="s">
        <v>109</v>
      </c>
      <c r="I34" s="2"/>
      <c r="J34" s="1" t="s">
        <v>16</v>
      </c>
      <c r="K34" s="1">
        <v>500.0</v>
      </c>
      <c r="L34" s="1"/>
      <c r="M34" s="5">
        <v>86.13</v>
      </c>
    </row>
    <row r="35" ht="15.75" hidden="1" customHeight="1">
      <c r="A35" s="1" t="s">
        <v>110</v>
      </c>
      <c r="B35" s="2">
        <v>330.0</v>
      </c>
      <c r="C35" s="1" t="s">
        <v>111</v>
      </c>
      <c r="D35" s="1" t="s">
        <v>112</v>
      </c>
      <c r="E35" s="3">
        <v>44679.0</v>
      </c>
      <c r="F35" s="1" t="s">
        <v>3</v>
      </c>
      <c r="G35" s="4">
        <v>2.01060221E8</v>
      </c>
      <c r="H35" s="1" t="s">
        <v>113</v>
      </c>
      <c r="I35" s="2"/>
      <c r="J35" s="1" t="s">
        <v>16</v>
      </c>
      <c r="K35" s="1">
        <v>50.0</v>
      </c>
      <c r="L35" s="1"/>
      <c r="M35" s="5">
        <v>122.25</v>
      </c>
    </row>
    <row r="36" ht="15.75" hidden="1" customHeight="1">
      <c r="A36" s="1" t="s">
        <v>114</v>
      </c>
      <c r="B36" s="2">
        <v>264.0</v>
      </c>
      <c r="C36" s="1" t="s">
        <v>80</v>
      </c>
      <c r="D36" s="1" t="s">
        <v>115</v>
      </c>
      <c r="E36" s="3">
        <v>44571.0</v>
      </c>
      <c r="F36" s="1" t="s">
        <v>3</v>
      </c>
      <c r="G36" s="4">
        <v>2.01067211E8</v>
      </c>
      <c r="H36" s="1" t="s">
        <v>116</v>
      </c>
      <c r="I36" s="2"/>
      <c r="J36" s="1" t="s">
        <v>16</v>
      </c>
      <c r="K36" s="1">
        <v>100.0</v>
      </c>
      <c r="L36" s="1"/>
      <c r="M36" s="5">
        <v>102.0</v>
      </c>
    </row>
    <row r="37" ht="15.75" hidden="1" customHeight="1">
      <c r="A37" s="1" t="s">
        <v>117</v>
      </c>
      <c r="B37" s="2">
        <v>199.0</v>
      </c>
      <c r="C37" s="6" t="s">
        <v>118</v>
      </c>
      <c r="D37" s="1" t="s">
        <v>119</v>
      </c>
      <c r="E37" s="3">
        <v>44487.0</v>
      </c>
      <c r="F37" s="1" t="s">
        <v>3</v>
      </c>
      <c r="G37" s="4">
        <v>2.01069211E8</v>
      </c>
      <c r="H37" s="1" t="s">
        <v>120</v>
      </c>
      <c r="I37" s="2"/>
      <c r="J37" s="1" t="s">
        <v>16</v>
      </c>
      <c r="K37" s="1">
        <v>150.0</v>
      </c>
      <c r="L37" s="1"/>
      <c r="M37" s="5">
        <v>103.0</v>
      </c>
    </row>
    <row r="38" ht="15.75" hidden="1" customHeight="1">
      <c r="A38" s="1" t="s">
        <v>121</v>
      </c>
      <c r="B38" s="2">
        <v>201.0</v>
      </c>
      <c r="C38" s="1" t="s">
        <v>122</v>
      </c>
      <c r="D38" s="1" t="s">
        <v>123</v>
      </c>
      <c r="E38" s="3">
        <v>44487.0</v>
      </c>
      <c r="F38" s="1" t="s">
        <v>3</v>
      </c>
      <c r="G38" s="4">
        <v>2.01069211E8</v>
      </c>
      <c r="H38" s="1" t="s">
        <v>120</v>
      </c>
      <c r="I38" s="2"/>
      <c r="J38" s="1" t="s">
        <v>124</v>
      </c>
      <c r="K38" s="1">
        <v>50.0</v>
      </c>
      <c r="L38" s="1"/>
      <c r="M38" s="5">
        <v>126.83</v>
      </c>
    </row>
    <row r="39" ht="15.75" hidden="1" customHeight="1">
      <c r="A39" s="1" t="s">
        <v>125</v>
      </c>
      <c r="B39" s="2">
        <v>205.0</v>
      </c>
      <c r="C39" s="1" t="s">
        <v>126</v>
      </c>
      <c r="D39" s="1" t="s">
        <v>127</v>
      </c>
      <c r="E39" s="3">
        <v>44494.0</v>
      </c>
      <c r="F39" s="1" t="s">
        <v>3</v>
      </c>
      <c r="G39" s="4">
        <v>2.01069211E8</v>
      </c>
      <c r="H39" s="1" t="s">
        <v>120</v>
      </c>
      <c r="I39" s="2"/>
      <c r="J39" s="1" t="s">
        <v>124</v>
      </c>
      <c r="K39" s="1">
        <v>3.0</v>
      </c>
      <c r="L39" s="1"/>
      <c r="M39" s="5">
        <v>149.19</v>
      </c>
    </row>
    <row r="40" ht="15.75" hidden="1" customHeight="1">
      <c r="A40" s="1" t="s">
        <v>128</v>
      </c>
      <c r="B40" s="2">
        <v>209.0</v>
      </c>
      <c r="C40" s="1" t="s">
        <v>129</v>
      </c>
      <c r="D40" s="1" t="s">
        <v>130</v>
      </c>
      <c r="E40" s="3">
        <v>44501.0</v>
      </c>
      <c r="F40" s="1" t="s">
        <v>3</v>
      </c>
      <c r="G40" s="4">
        <v>2.01069211E8</v>
      </c>
      <c r="H40" s="1" t="s">
        <v>120</v>
      </c>
      <c r="I40" s="2"/>
      <c r="J40" s="1" t="s">
        <v>16</v>
      </c>
      <c r="K40" s="1">
        <v>25.0</v>
      </c>
      <c r="L40" s="1"/>
      <c r="M40" s="5">
        <v>123.85</v>
      </c>
    </row>
    <row r="41" ht="15.75" hidden="1" customHeight="1">
      <c r="A41" s="1" t="s">
        <v>131</v>
      </c>
      <c r="B41" s="2">
        <v>214.0</v>
      </c>
      <c r="C41" s="1" t="s">
        <v>132</v>
      </c>
      <c r="D41" s="1" t="s">
        <v>133</v>
      </c>
      <c r="E41" s="3">
        <v>44508.0</v>
      </c>
      <c r="F41" s="1" t="s">
        <v>3</v>
      </c>
      <c r="G41" s="4">
        <v>2.01069211E8</v>
      </c>
      <c r="H41" s="1" t="s">
        <v>120</v>
      </c>
      <c r="I41" s="2"/>
      <c r="J41" s="1" t="s">
        <v>16</v>
      </c>
      <c r="K41" s="1">
        <v>3.0</v>
      </c>
      <c r="L41" s="1"/>
      <c r="M41" s="5">
        <v>122.0</v>
      </c>
    </row>
    <row r="42" ht="15.75" hidden="1" customHeight="1">
      <c r="A42" s="1" t="s">
        <v>134</v>
      </c>
      <c r="B42" s="2">
        <v>340.0</v>
      </c>
      <c r="C42" s="1" t="s">
        <v>135</v>
      </c>
      <c r="D42" s="1" t="s">
        <v>136</v>
      </c>
      <c r="E42" s="3">
        <v>44690.0</v>
      </c>
      <c r="F42" s="1" t="s">
        <v>3</v>
      </c>
      <c r="G42" s="4">
        <v>2.01069221E8</v>
      </c>
      <c r="H42" s="1" t="s">
        <v>137</v>
      </c>
      <c r="I42" s="2"/>
      <c r="J42" s="1" t="s">
        <v>16</v>
      </c>
      <c r="K42" s="1">
        <v>75.0</v>
      </c>
      <c r="L42" s="1"/>
      <c r="M42" s="5">
        <v>125.0</v>
      </c>
    </row>
    <row r="43" ht="15.75" hidden="1" customHeight="1">
      <c r="A43" s="1" t="s">
        <v>138</v>
      </c>
      <c r="B43" s="2">
        <v>360.0</v>
      </c>
      <c r="C43" s="1" t="s">
        <v>139</v>
      </c>
      <c r="D43" s="1" t="s">
        <v>140</v>
      </c>
      <c r="E43" s="3">
        <v>44713.0</v>
      </c>
      <c r="F43" s="1" t="s">
        <v>3</v>
      </c>
      <c r="G43" s="4">
        <v>2.01070221E8</v>
      </c>
      <c r="H43" s="1" t="s">
        <v>141</v>
      </c>
      <c r="I43" s="2"/>
      <c r="J43" s="1" t="s">
        <v>16</v>
      </c>
      <c r="K43" s="1">
        <v>25.0</v>
      </c>
      <c r="L43" s="1"/>
      <c r="M43" s="5">
        <v>154.61</v>
      </c>
    </row>
    <row r="44" ht="15.75" hidden="1" customHeight="1">
      <c r="A44" s="1" t="s">
        <v>142</v>
      </c>
      <c r="B44" s="2">
        <v>100.0</v>
      </c>
      <c r="C44" s="1" t="s">
        <v>143</v>
      </c>
      <c r="D44" s="1" t="s">
        <v>144</v>
      </c>
      <c r="E44" s="3">
        <v>44419.0</v>
      </c>
      <c r="F44" s="1" t="s">
        <v>3</v>
      </c>
      <c r="G44" s="4">
        <v>2.01071211E8</v>
      </c>
      <c r="H44" s="1" t="s">
        <v>145</v>
      </c>
      <c r="I44" s="2"/>
      <c r="J44" s="1" t="s">
        <v>9</v>
      </c>
      <c r="K44" s="1">
        <v>29.0</v>
      </c>
      <c r="L44" s="1"/>
      <c r="M44" s="5">
        <v>100.0</v>
      </c>
    </row>
    <row r="45" ht="15.75" hidden="1" customHeight="1">
      <c r="A45" s="1" t="s">
        <v>146</v>
      </c>
      <c r="B45" s="2">
        <v>137.0</v>
      </c>
      <c r="C45" s="1" t="s">
        <v>143</v>
      </c>
      <c r="D45" s="1" t="s">
        <v>147</v>
      </c>
      <c r="E45" s="3">
        <v>44432.0</v>
      </c>
      <c r="F45" s="1" t="s">
        <v>3</v>
      </c>
      <c r="G45" s="4">
        <v>2.01071211E8</v>
      </c>
      <c r="H45" s="1" t="s">
        <v>145</v>
      </c>
      <c r="I45" s="2"/>
      <c r="J45" s="1" t="s">
        <v>9</v>
      </c>
      <c r="K45" s="1">
        <v>25.0</v>
      </c>
      <c r="L45" s="1"/>
      <c r="M45" s="5">
        <v>100.0</v>
      </c>
    </row>
    <row r="46" ht="15.75" hidden="1" customHeight="1">
      <c r="A46" s="1" t="s">
        <v>148</v>
      </c>
      <c r="B46" s="2">
        <v>125.0</v>
      </c>
      <c r="C46" s="1" t="s">
        <v>39</v>
      </c>
      <c r="D46" s="1" t="s">
        <v>149</v>
      </c>
      <c r="E46" s="3">
        <v>44424.0</v>
      </c>
      <c r="F46" s="1" t="s">
        <v>3</v>
      </c>
      <c r="G46" s="4">
        <v>2.01074211E8</v>
      </c>
      <c r="H46" s="1" t="s">
        <v>150</v>
      </c>
      <c r="I46" s="2"/>
      <c r="J46" s="1" t="s">
        <v>16</v>
      </c>
      <c r="K46" s="1">
        <v>225.0</v>
      </c>
      <c r="L46" s="1"/>
      <c r="M46" s="5">
        <v>103.28</v>
      </c>
    </row>
    <row r="47" ht="15.75" hidden="1" customHeight="1">
      <c r="A47" s="1" t="s">
        <v>151</v>
      </c>
      <c r="B47" s="2">
        <v>344.0</v>
      </c>
      <c r="C47" s="1" t="s">
        <v>27</v>
      </c>
      <c r="D47" s="1" t="s">
        <v>152</v>
      </c>
      <c r="E47" s="3">
        <v>44699.0</v>
      </c>
      <c r="F47" s="1" t="s">
        <v>3</v>
      </c>
      <c r="G47" s="4">
        <v>2.01074221E8</v>
      </c>
      <c r="H47" s="1" t="s">
        <v>153</v>
      </c>
      <c r="I47" s="2"/>
      <c r="J47" s="1" t="s">
        <v>16</v>
      </c>
      <c r="K47" s="1">
        <v>20.0</v>
      </c>
      <c r="L47" s="1"/>
      <c r="M47" s="5">
        <v>121.93</v>
      </c>
    </row>
    <row r="48" ht="15.75" hidden="1" customHeight="1">
      <c r="A48" s="1" t="s">
        <v>154</v>
      </c>
      <c r="B48" s="2">
        <v>112.0</v>
      </c>
      <c r="C48" s="1" t="s">
        <v>55</v>
      </c>
      <c r="D48" s="1" t="s">
        <v>155</v>
      </c>
      <c r="E48" s="3">
        <v>44424.0</v>
      </c>
      <c r="F48" s="1" t="s">
        <v>3</v>
      </c>
      <c r="G48" s="4">
        <v>2.01079211E8</v>
      </c>
      <c r="H48" s="1" t="s">
        <v>156</v>
      </c>
      <c r="I48" s="2"/>
      <c r="J48" s="1" t="s">
        <v>9</v>
      </c>
      <c r="K48" s="1">
        <v>300.0</v>
      </c>
      <c r="L48" s="1"/>
      <c r="M48" s="5">
        <v>90.0</v>
      </c>
    </row>
    <row r="49" ht="15.75" hidden="1" customHeight="1">
      <c r="A49" s="1" t="s">
        <v>157</v>
      </c>
      <c r="B49" s="2">
        <v>361.0</v>
      </c>
      <c r="C49" s="1" t="s">
        <v>55</v>
      </c>
      <c r="D49" s="1" t="s">
        <v>158</v>
      </c>
      <c r="E49" s="3">
        <v>44719.0</v>
      </c>
      <c r="F49" s="1" t="s">
        <v>3</v>
      </c>
      <c r="G49" s="4">
        <v>2.01085221E8</v>
      </c>
      <c r="H49" s="1" t="s">
        <v>159</v>
      </c>
      <c r="I49" s="2"/>
      <c r="J49" s="1" t="s">
        <v>16</v>
      </c>
      <c r="K49" s="1">
        <v>100.0</v>
      </c>
      <c r="L49" s="1"/>
      <c r="M49" s="5">
        <v>90.0</v>
      </c>
    </row>
    <row r="50" ht="15.75" hidden="1" customHeight="1">
      <c r="A50" s="1" t="s">
        <v>160</v>
      </c>
      <c r="B50" s="2">
        <v>141.0</v>
      </c>
      <c r="C50" s="1" t="s">
        <v>161</v>
      </c>
      <c r="D50" s="1" t="s">
        <v>162</v>
      </c>
      <c r="E50" s="3">
        <v>44438.0</v>
      </c>
      <c r="F50" s="1" t="s">
        <v>3</v>
      </c>
      <c r="G50" s="4">
        <v>2.01086211E8</v>
      </c>
      <c r="H50" s="1" t="s">
        <v>163</v>
      </c>
      <c r="I50" s="2"/>
      <c r="J50" s="1" t="s">
        <v>9</v>
      </c>
      <c r="K50" s="1">
        <v>500.0</v>
      </c>
      <c r="L50" s="1"/>
      <c r="M50" s="5">
        <v>86.13</v>
      </c>
    </row>
    <row r="51" ht="15.75" hidden="1" customHeight="1">
      <c r="A51" s="1" t="s">
        <v>164</v>
      </c>
      <c r="B51" s="2">
        <v>148.0</v>
      </c>
      <c r="C51" s="1" t="s">
        <v>165</v>
      </c>
      <c r="D51" s="1" t="s">
        <v>166</v>
      </c>
      <c r="E51" s="3">
        <v>44438.0</v>
      </c>
      <c r="F51" s="1" t="s">
        <v>3</v>
      </c>
      <c r="G51" s="4">
        <v>2.01092211E8</v>
      </c>
      <c r="H51" s="1" t="s">
        <v>167</v>
      </c>
      <c r="I51" s="2"/>
      <c r="J51" s="1" t="s">
        <v>16</v>
      </c>
      <c r="K51" s="1">
        <v>30.0</v>
      </c>
      <c r="L51" s="1"/>
      <c r="M51" s="5">
        <v>105.01</v>
      </c>
    </row>
    <row r="52" ht="15.75" hidden="1" customHeight="1">
      <c r="A52" s="1" t="s">
        <v>168</v>
      </c>
      <c r="B52" s="2">
        <v>150.0</v>
      </c>
      <c r="C52" s="1" t="s">
        <v>169</v>
      </c>
      <c r="D52" s="1" t="s">
        <v>170</v>
      </c>
      <c r="E52" s="3">
        <v>44438.0</v>
      </c>
      <c r="F52" s="1" t="s">
        <v>3</v>
      </c>
      <c r="G52" s="4">
        <v>2.01094211E8</v>
      </c>
      <c r="H52" s="1" t="s">
        <v>171</v>
      </c>
      <c r="I52" s="2"/>
      <c r="J52" s="1" t="s">
        <v>16</v>
      </c>
      <c r="K52" s="1">
        <v>60.0</v>
      </c>
      <c r="L52" s="1"/>
      <c r="M52" s="5">
        <v>119.65</v>
      </c>
    </row>
    <row r="53" ht="15.75" hidden="1" customHeight="1">
      <c r="A53" s="1" t="s">
        <v>172</v>
      </c>
      <c r="B53" s="2">
        <v>380.0</v>
      </c>
      <c r="C53" s="1" t="s">
        <v>173</v>
      </c>
      <c r="D53" s="1" t="s">
        <v>174</v>
      </c>
      <c r="E53" s="3">
        <v>44742.0</v>
      </c>
      <c r="F53" s="1" t="s">
        <v>3</v>
      </c>
      <c r="G53" s="4">
        <v>2.01095221E8</v>
      </c>
      <c r="H53" s="1" t="s">
        <v>175</v>
      </c>
      <c r="I53" s="2"/>
      <c r="J53" s="1" t="s">
        <v>16</v>
      </c>
      <c r="K53" s="1">
        <v>300.0</v>
      </c>
      <c r="L53" s="1"/>
      <c r="M53" s="5">
        <v>79.25</v>
      </c>
    </row>
    <row r="54" ht="15.75" hidden="1" customHeight="1">
      <c r="A54" s="1" t="s">
        <v>176</v>
      </c>
      <c r="B54" s="2">
        <v>392.0</v>
      </c>
      <c r="C54" s="1" t="s">
        <v>39</v>
      </c>
      <c r="D54" s="1" t="s">
        <v>177</v>
      </c>
      <c r="E54" s="3">
        <v>44763.0</v>
      </c>
      <c r="F54" s="1" t="s">
        <v>3</v>
      </c>
      <c r="G54" s="4">
        <v>2.01109221E8</v>
      </c>
      <c r="H54" s="1" t="s">
        <v>178</v>
      </c>
      <c r="I54" s="2"/>
      <c r="J54" s="1" t="s">
        <v>179</v>
      </c>
      <c r="K54" s="1">
        <v>1200.0</v>
      </c>
      <c r="L54" s="1"/>
      <c r="M54" s="5">
        <v>49.28</v>
      </c>
    </row>
    <row r="55" ht="15.75" hidden="1" customHeight="1">
      <c r="A55" s="1" t="s">
        <v>180</v>
      </c>
      <c r="B55" s="2">
        <v>412.0</v>
      </c>
      <c r="C55" s="1" t="s">
        <v>39</v>
      </c>
      <c r="D55" s="1" t="s">
        <v>181</v>
      </c>
      <c r="E55" s="3">
        <v>44798.0</v>
      </c>
      <c r="F55" s="1" t="s">
        <v>3</v>
      </c>
      <c r="G55" s="4">
        <v>2.01109221E8</v>
      </c>
      <c r="H55" s="1" t="s">
        <v>178</v>
      </c>
      <c r="I55" s="2"/>
      <c r="J55" s="1" t="s">
        <v>179</v>
      </c>
      <c r="K55" s="1">
        <v>1404.0</v>
      </c>
      <c r="L55" s="1"/>
      <c r="M55" s="5">
        <v>49.28</v>
      </c>
    </row>
    <row r="56" ht="15.75" hidden="1" customHeight="1">
      <c r="A56" s="1" t="s">
        <v>182</v>
      </c>
      <c r="B56" s="2">
        <v>416.0</v>
      </c>
      <c r="C56" s="1" t="s">
        <v>55</v>
      </c>
      <c r="D56" s="1" t="s">
        <v>183</v>
      </c>
      <c r="E56" s="3">
        <v>44804.0</v>
      </c>
      <c r="F56" s="1" t="s">
        <v>3</v>
      </c>
      <c r="G56" s="4">
        <v>2.01123221E8</v>
      </c>
      <c r="H56" s="1" t="s">
        <v>184</v>
      </c>
      <c r="I56" s="2"/>
      <c r="J56" s="1" t="s">
        <v>16</v>
      </c>
      <c r="K56" s="1">
        <v>200.0</v>
      </c>
      <c r="L56" s="1"/>
      <c r="M56" s="5">
        <v>90.0</v>
      </c>
    </row>
    <row r="57" ht="15.75" hidden="1" customHeight="1">
      <c r="A57" s="1" t="s">
        <v>185</v>
      </c>
      <c r="B57" s="2">
        <v>444.0</v>
      </c>
      <c r="C57" s="1" t="s">
        <v>59</v>
      </c>
      <c r="D57" s="1" t="s">
        <v>186</v>
      </c>
      <c r="E57" s="3">
        <v>44846.0</v>
      </c>
      <c r="F57" s="1" t="s">
        <v>3</v>
      </c>
      <c r="G57" s="4">
        <v>2.01123221E8</v>
      </c>
      <c r="H57" s="1" t="s">
        <v>184</v>
      </c>
      <c r="I57" s="2"/>
      <c r="J57" s="1" t="s">
        <v>16</v>
      </c>
      <c r="K57" s="1">
        <v>100.0</v>
      </c>
      <c r="L57" s="1"/>
      <c r="M57" s="5">
        <v>90.0</v>
      </c>
    </row>
    <row r="58" ht="15.75" hidden="1" customHeight="1">
      <c r="A58" s="1" t="s">
        <v>187</v>
      </c>
      <c r="B58" s="2">
        <v>445.0</v>
      </c>
      <c r="C58" s="1" t="s">
        <v>55</v>
      </c>
      <c r="D58" s="1" t="s">
        <v>188</v>
      </c>
      <c r="E58" s="3">
        <v>44846.0</v>
      </c>
      <c r="F58" s="1" t="s">
        <v>3</v>
      </c>
      <c r="G58" s="4">
        <v>2.01123221E8</v>
      </c>
      <c r="H58" s="1" t="s">
        <v>184</v>
      </c>
      <c r="I58" s="2"/>
      <c r="J58" s="1" t="s">
        <v>16</v>
      </c>
      <c r="K58" s="1">
        <v>100.0</v>
      </c>
      <c r="L58" s="1"/>
      <c r="M58" s="5">
        <v>90.0</v>
      </c>
    </row>
    <row r="59" ht="15.75" hidden="1" customHeight="1">
      <c r="A59" s="1" t="s">
        <v>189</v>
      </c>
      <c r="B59" s="2">
        <v>273.0</v>
      </c>
      <c r="C59" s="1" t="s">
        <v>190</v>
      </c>
      <c r="D59" s="1" t="s">
        <v>191</v>
      </c>
      <c r="E59" s="3">
        <v>44589.0</v>
      </c>
      <c r="F59" s="1" t="s">
        <v>3</v>
      </c>
      <c r="G59" s="4">
        <v>2.01126211E8</v>
      </c>
      <c r="H59" s="1" t="s">
        <v>192</v>
      </c>
      <c r="I59" s="2"/>
      <c r="J59" s="1" t="s">
        <v>16</v>
      </c>
      <c r="K59" s="1">
        <v>1.0</v>
      </c>
      <c r="L59" s="1"/>
      <c r="M59" s="5">
        <v>122.0</v>
      </c>
    </row>
    <row r="60" ht="15.75" hidden="1" customHeight="1">
      <c r="A60" s="1" t="s">
        <v>193</v>
      </c>
      <c r="B60" s="2">
        <v>426.0</v>
      </c>
      <c r="C60" s="1" t="s">
        <v>194</v>
      </c>
      <c r="D60" s="1" t="s">
        <v>195</v>
      </c>
      <c r="E60" s="3">
        <v>44812.0</v>
      </c>
      <c r="F60" s="1" t="s">
        <v>3</v>
      </c>
      <c r="G60" s="4">
        <v>2.01130221E8</v>
      </c>
      <c r="H60" s="1" t="s">
        <v>196</v>
      </c>
      <c r="I60" s="2"/>
      <c r="J60" s="1" t="s">
        <v>16</v>
      </c>
      <c r="K60" s="1">
        <v>10.0</v>
      </c>
      <c r="L60" s="1"/>
      <c r="M60" s="5">
        <v>90.0</v>
      </c>
    </row>
    <row r="61" ht="15.75" hidden="1" customHeight="1">
      <c r="A61" s="1" t="s">
        <v>197</v>
      </c>
      <c r="B61" s="2">
        <v>431.0</v>
      </c>
      <c r="C61" s="1" t="s">
        <v>194</v>
      </c>
      <c r="D61" s="1" t="s">
        <v>198</v>
      </c>
      <c r="E61" s="3">
        <v>44813.0</v>
      </c>
      <c r="F61" s="1" t="s">
        <v>3</v>
      </c>
      <c r="G61" s="4">
        <v>2.01130221E8</v>
      </c>
      <c r="H61" s="1" t="s">
        <v>196</v>
      </c>
      <c r="I61" s="2"/>
      <c r="J61" s="1" t="s">
        <v>16</v>
      </c>
      <c r="K61" s="1">
        <v>10.0</v>
      </c>
      <c r="L61" s="1"/>
      <c r="M61" s="5">
        <v>90.0</v>
      </c>
    </row>
    <row r="62" ht="15.75" hidden="1" customHeight="1">
      <c r="A62" s="1" t="s">
        <v>199</v>
      </c>
      <c r="B62" s="2">
        <v>208.0</v>
      </c>
      <c r="C62" s="1" t="s">
        <v>200</v>
      </c>
      <c r="D62" s="1" t="s">
        <v>201</v>
      </c>
      <c r="E62" s="3">
        <v>44501.0</v>
      </c>
      <c r="F62" s="1" t="s">
        <v>3</v>
      </c>
      <c r="G62" s="4">
        <v>2.01133211E8</v>
      </c>
      <c r="H62" s="1" t="s">
        <v>202</v>
      </c>
      <c r="I62" s="2"/>
      <c r="J62" s="1" t="s">
        <v>16</v>
      </c>
      <c r="K62" s="1">
        <v>50.0</v>
      </c>
      <c r="L62" s="1"/>
      <c r="M62" s="5">
        <v>76.85</v>
      </c>
    </row>
    <row r="63" ht="15.75" hidden="1" customHeight="1">
      <c r="A63" s="1" t="s">
        <v>203</v>
      </c>
      <c r="B63" s="2">
        <v>484.0</v>
      </c>
      <c r="C63" s="1" t="s">
        <v>39</v>
      </c>
      <c r="D63" s="1" t="s">
        <v>204</v>
      </c>
      <c r="E63" s="3">
        <v>44914.0</v>
      </c>
      <c r="F63" s="1" t="s">
        <v>3</v>
      </c>
      <c r="G63" s="4">
        <v>2.01137221E8</v>
      </c>
      <c r="H63" s="1" t="s">
        <v>205</v>
      </c>
      <c r="I63" s="2"/>
      <c r="J63" s="1" t="s">
        <v>16</v>
      </c>
      <c r="K63" s="1">
        <v>1404.0</v>
      </c>
      <c r="L63" s="1"/>
      <c r="M63" s="5">
        <v>49.28</v>
      </c>
    </row>
    <row r="64" ht="15.75" hidden="1" customHeight="1">
      <c r="A64" s="1" t="s">
        <v>206</v>
      </c>
      <c r="B64" s="2">
        <v>457.0</v>
      </c>
      <c r="C64" s="1" t="s">
        <v>55</v>
      </c>
      <c r="D64" s="1" t="s">
        <v>207</v>
      </c>
      <c r="E64" s="3">
        <v>44852.0</v>
      </c>
      <c r="F64" s="1" t="s">
        <v>3</v>
      </c>
      <c r="G64" s="4">
        <v>2.01141221E8</v>
      </c>
      <c r="H64" s="1" t="s">
        <v>208</v>
      </c>
      <c r="I64" s="2"/>
      <c r="J64" s="1" t="s">
        <v>16</v>
      </c>
      <c r="K64" s="1">
        <v>100.0</v>
      </c>
      <c r="L64" s="1"/>
      <c r="M64" s="5">
        <v>90.0</v>
      </c>
    </row>
    <row r="65" ht="15.75" hidden="1" customHeight="1">
      <c r="A65" s="1" t="s">
        <v>209</v>
      </c>
      <c r="B65" s="2">
        <v>458.0</v>
      </c>
      <c r="C65" s="1" t="s">
        <v>55</v>
      </c>
      <c r="D65" s="1" t="s">
        <v>210</v>
      </c>
      <c r="E65" s="3">
        <v>44852.0</v>
      </c>
      <c r="F65" s="1" t="s">
        <v>3</v>
      </c>
      <c r="G65" s="4">
        <v>2.01141221E8</v>
      </c>
      <c r="H65" s="1" t="s">
        <v>208</v>
      </c>
      <c r="I65" s="2"/>
      <c r="J65" s="1" t="s">
        <v>16</v>
      </c>
      <c r="K65" s="1">
        <v>100.0</v>
      </c>
      <c r="L65" s="1"/>
      <c r="M65" s="5">
        <v>90.0</v>
      </c>
    </row>
    <row r="66" ht="15.75" hidden="1" customHeight="1">
      <c r="A66" s="1" t="s">
        <v>211</v>
      </c>
      <c r="B66" s="2">
        <v>473.0</v>
      </c>
      <c r="C66" s="1" t="s">
        <v>55</v>
      </c>
      <c r="D66" s="1" t="s">
        <v>212</v>
      </c>
      <c r="E66" s="3">
        <v>44873.0</v>
      </c>
      <c r="F66" s="1" t="s">
        <v>3</v>
      </c>
      <c r="G66" s="4">
        <v>2.01141221E8</v>
      </c>
      <c r="H66" s="1" t="s">
        <v>208</v>
      </c>
      <c r="I66" s="2"/>
      <c r="J66" s="1" t="s">
        <v>16</v>
      </c>
      <c r="K66" s="1">
        <v>100.0</v>
      </c>
      <c r="L66" s="1"/>
      <c r="M66" s="5">
        <v>90.0</v>
      </c>
    </row>
    <row r="67" ht="15.75" hidden="1" customHeight="1">
      <c r="A67" s="1" t="s">
        <v>213</v>
      </c>
      <c r="B67" s="2">
        <v>451.0</v>
      </c>
      <c r="C67" s="1" t="s">
        <v>11</v>
      </c>
      <c r="D67" s="1" t="s">
        <v>214</v>
      </c>
      <c r="E67" s="3">
        <v>44847.0</v>
      </c>
      <c r="F67" s="1" t="s">
        <v>3</v>
      </c>
      <c r="G67" s="4">
        <v>2.01143221E8</v>
      </c>
      <c r="H67" s="1" t="s">
        <v>215</v>
      </c>
      <c r="I67" s="2"/>
      <c r="J67" s="1" t="s">
        <v>124</v>
      </c>
      <c r="K67" s="1">
        <v>60.0</v>
      </c>
      <c r="L67" s="1"/>
      <c r="M67" s="5">
        <v>105.0</v>
      </c>
    </row>
    <row r="68" ht="15.75" hidden="1" customHeight="1">
      <c r="A68" s="1" t="s">
        <v>216</v>
      </c>
      <c r="B68" s="2">
        <v>461.0</v>
      </c>
      <c r="C68" s="1" t="s">
        <v>11</v>
      </c>
      <c r="D68" s="1" t="s">
        <v>217</v>
      </c>
      <c r="E68" s="3">
        <v>44858.0</v>
      </c>
      <c r="F68" s="1" t="s">
        <v>3</v>
      </c>
      <c r="G68" s="4">
        <v>2.01143221E8</v>
      </c>
      <c r="H68" s="1" t="s">
        <v>215</v>
      </c>
      <c r="I68" s="2"/>
      <c r="J68" s="1" t="s">
        <v>16</v>
      </c>
      <c r="K68" s="1">
        <v>50.0</v>
      </c>
      <c r="L68" s="1"/>
      <c r="M68" s="5">
        <v>105.0</v>
      </c>
    </row>
    <row r="69" ht="15.75" hidden="1" customHeight="1">
      <c r="A69" s="1" t="s">
        <v>218</v>
      </c>
      <c r="B69" s="2">
        <v>492.0</v>
      </c>
      <c r="C69" s="1" t="s">
        <v>219</v>
      </c>
      <c r="D69" s="1" t="s">
        <v>220</v>
      </c>
      <c r="E69" s="3">
        <v>44922.0</v>
      </c>
      <c r="F69" s="1" t="s">
        <v>3</v>
      </c>
      <c r="G69" s="4">
        <v>2.01146221E8</v>
      </c>
      <c r="H69" s="1" t="s">
        <v>221</v>
      </c>
      <c r="I69" s="2"/>
      <c r="J69" s="1" t="s">
        <v>124</v>
      </c>
      <c r="K69" s="1">
        <v>300.0</v>
      </c>
      <c r="L69" s="1"/>
      <c r="M69" s="5">
        <v>100.0</v>
      </c>
    </row>
    <row r="70" ht="15.75" hidden="1" customHeight="1">
      <c r="A70" s="1" t="s">
        <v>222</v>
      </c>
      <c r="B70" s="2">
        <v>490.0</v>
      </c>
      <c r="C70" s="1" t="s">
        <v>111</v>
      </c>
      <c r="D70" s="1" t="s">
        <v>223</v>
      </c>
      <c r="E70" s="3">
        <v>44914.0</v>
      </c>
      <c r="F70" s="1" t="s">
        <v>3</v>
      </c>
      <c r="G70" s="4">
        <v>2.01166221E8</v>
      </c>
      <c r="H70" s="1" t="s">
        <v>224</v>
      </c>
      <c r="I70" s="2"/>
      <c r="J70" s="1" t="s">
        <v>16</v>
      </c>
      <c r="K70" s="1">
        <v>125.0</v>
      </c>
      <c r="L70" s="1"/>
      <c r="M70" s="5">
        <v>122.25</v>
      </c>
    </row>
    <row r="71" ht="15.75" hidden="1" customHeight="1">
      <c r="A71" s="1" t="s">
        <v>225</v>
      </c>
      <c r="B71" s="2">
        <v>257.0</v>
      </c>
      <c r="C71" s="1" t="s">
        <v>55</v>
      </c>
      <c r="D71" s="1" t="s">
        <v>226</v>
      </c>
      <c r="E71" s="3">
        <v>44560.0</v>
      </c>
      <c r="F71" s="1" t="s">
        <v>3</v>
      </c>
      <c r="G71" s="4">
        <v>2.01182211E8</v>
      </c>
      <c r="H71" s="1" t="s">
        <v>227</v>
      </c>
      <c r="I71" s="2"/>
      <c r="J71" s="1" t="s">
        <v>16</v>
      </c>
      <c r="K71" s="1">
        <v>200.0</v>
      </c>
      <c r="L71" s="1"/>
      <c r="M71" s="5">
        <v>90.0</v>
      </c>
    </row>
    <row r="72" ht="15.75" hidden="1" customHeight="1">
      <c r="A72" s="1" t="s">
        <v>228</v>
      </c>
      <c r="B72" s="2">
        <v>262.0</v>
      </c>
      <c r="C72" s="1" t="s">
        <v>126</v>
      </c>
      <c r="D72" s="1" t="s">
        <v>229</v>
      </c>
      <c r="E72" s="3">
        <v>44567.0</v>
      </c>
      <c r="F72" s="1" t="s">
        <v>3</v>
      </c>
      <c r="G72" s="4">
        <v>2.01183211E8</v>
      </c>
      <c r="H72" s="1" t="s">
        <v>230</v>
      </c>
      <c r="I72" s="2"/>
      <c r="J72" s="1" t="s">
        <v>16</v>
      </c>
      <c r="K72" s="1">
        <v>4.0</v>
      </c>
      <c r="L72" s="1"/>
      <c r="M72" s="5">
        <v>139.19</v>
      </c>
    </row>
    <row r="73" ht="15.75" hidden="1" customHeight="1">
      <c r="A73" s="1" t="s">
        <v>231</v>
      </c>
      <c r="B73" s="2">
        <v>343.0</v>
      </c>
      <c r="C73" s="1" t="s">
        <v>84</v>
      </c>
      <c r="D73" s="1" t="s">
        <v>232</v>
      </c>
      <c r="E73" s="3">
        <v>44699.0</v>
      </c>
      <c r="F73" s="1" t="s">
        <v>3</v>
      </c>
      <c r="G73" s="4">
        <v>2.03043221E8</v>
      </c>
      <c r="H73" s="1" t="s">
        <v>233</v>
      </c>
      <c r="I73" s="2"/>
      <c r="J73" s="1" t="s">
        <v>234</v>
      </c>
      <c r="K73" s="1">
        <v>2586.5</v>
      </c>
      <c r="L73" s="1"/>
      <c r="M73" s="5">
        <v>13.35</v>
      </c>
    </row>
    <row r="74" ht="15.75" hidden="1" customHeight="1">
      <c r="A74" s="1" t="s">
        <v>235</v>
      </c>
      <c r="B74" s="2">
        <v>187.0</v>
      </c>
      <c r="C74" s="1" t="s">
        <v>84</v>
      </c>
      <c r="D74" s="1" t="s">
        <v>236</v>
      </c>
      <c r="E74" s="3">
        <v>44467.0</v>
      </c>
      <c r="F74" s="1" t="s">
        <v>3</v>
      </c>
      <c r="G74" s="4">
        <v>2.03093211E8</v>
      </c>
      <c r="H74" s="1" t="s">
        <v>237</v>
      </c>
      <c r="I74" s="2"/>
      <c r="J74" s="1" t="s">
        <v>234</v>
      </c>
      <c r="K74" s="1">
        <v>2508.0</v>
      </c>
      <c r="L74" s="1"/>
      <c r="M74" s="5">
        <v>13.35</v>
      </c>
    </row>
    <row r="75" ht="15.75" hidden="1" customHeight="1">
      <c r="A75" s="1" t="s">
        <v>238</v>
      </c>
      <c r="B75" s="2">
        <v>483.0</v>
      </c>
      <c r="C75" s="1" t="s">
        <v>84</v>
      </c>
      <c r="D75" s="1" t="s">
        <v>239</v>
      </c>
      <c r="E75" s="3">
        <v>44914.0</v>
      </c>
      <c r="F75" s="1" t="s">
        <v>3</v>
      </c>
      <c r="G75" s="4">
        <v>2.03153221E8</v>
      </c>
      <c r="H75" s="1" t="s">
        <v>240</v>
      </c>
      <c r="I75" s="2"/>
      <c r="J75" s="1" t="s">
        <v>234</v>
      </c>
      <c r="K75" s="1">
        <v>2570.95</v>
      </c>
      <c r="L75" s="1"/>
      <c r="M75" s="5">
        <v>14.8</v>
      </c>
    </row>
    <row r="76" ht="15.75" hidden="1" customHeight="1">
      <c r="A76" s="1" t="s">
        <v>241</v>
      </c>
      <c r="B76" s="2">
        <v>515.0</v>
      </c>
      <c r="C76" s="1" t="s">
        <v>27</v>
      </c>
      <c r="D76" s="1" t="s">
        <v>242</v>
      </c>
      <c r="E76" s="3">
        <v>44965.0</v>
      </c>
      <c r="F76" s="1" t="s">
        <v>3</v>
      </c>
      <c r="G76" s="4">
        <v>2.04005231E8</v>
      </c>
      <c r="H76" s="1" t="s">
        <v>243</v>
      </c>
      <c r="I76" s="2"/>
      <c r="J76" s="1" t="s">
        <v>244</v>
      </c>
      <c r="K76" s="1">
        <v>2662.32</v>
      </c>
      <c r="L76" s="1"/>
      <c r="M76" s="5">
        <v>8.36</v>
      </c>
    </row>
    <row r="77" ht="15.75" hidden="1" customHeight="1">
      <c r="A77" s="1" t="s">
        <v>245</v>
      </c>
      <c r="B77" s="2">
        <v>29.0</v>
      </c>
      <c r="C77" s="1" t="s">
        <v>246</v>
      </c>
      <c r="D77" s="1" t="s">
        <v>247</v>
      </c>
      <c r="E77" s="3">
        <v>44417.0</v>
      </c>
      <c r="F77" s="1" t="s">
        <v>3</v>
      </c>
      <c r="G77" s="4">
        <v>2.04008211E8</v>
      </c>
      <c r="I77" s="2"/>
      <c r="J77" s="1" t="s">
        <v>244</v>
      </c>
      <c r="K77" s="1">
        <v>1100.0</v>
      </c>
      <c r="L77" s="1"/>
      <c r="M77" s="5">
        <v>7.75</v>
      </c>
    </row>
    <row r="78" ht="15.75" hidden="1" customHeight="1">
      <c r="A78" s="1" t="s">
        <v>248</v>
      </c>
      <c r="B78" s="2">
        <v>55.0</v>
      </c>
      <c r="C78" s="1" t="s">
        <v>249</v>
      </c>
      <c r="D78" s="1" t="s">
        <v>250</v>
      </c>
      <c r="E78" s="3">
        <v>44418.0</v>
      </c>
      <c r="F78" s="1" t="s">
        <v>3</v>
      </c>
      <c r="G78" s="4">
        <v>2.04027211E8</v>
      </c>
      <c r="I78" s="2"/>
      <c r="J78" s="1" t="s">
        <v>244</v>
      </c>
      <c r="K78" s="1">
        <v>1100.0</v>
      </c>
      <c r="L78" s="1"/>
      <c r="M78" s="5">
        <v>7.75</v>
      </c>
    </row>
    <row r="79" ht="15.75" hidden="1" customHeight="1">
      <c r="A79" s="1" t="s">
        <v>251</v>
      </c>
      <c r="B79" s="2">
        <v>49.0</v>
      </c>
      <c r="C79" s="1" t="s">
        <v>84</v>
      </c>
      <c r="D79" s="1" t="s">
        <v>252</v>
      </c>
      <c r="E79" s="3">
        <v>44417.0</v>
      </c>
      <c r="F79" s="1" t="s">
        <v>3</v>
      </c>
      <c r="G79" s="4">
        <v>2.04030211E8</v>
      </c>
      <c r="I79" s="2"/>
      <c r="J79" s="1" t="s">
        <v>253</v>
      </c>
      <c r="K79" s="1">
        <v>3021.0</v>
      </c>
      <c r="L79" s="1"/>
      <c r="M79" s="5">
        <v>4.92</v>
      </c>
    </row>
    <row r="80" ht="15.75" hidden="1" customHeight="1">
      <c r="A80" s="1" t="s">
        <v>254</v>
      </c>
      <c r="B80" s="2">
        <v>73.0</v>
      </c>
      <c r="C80" s="1" t="s">
        <v>255</v>
      </c>
      <c r="D80" s="1" t="s">
        <v>256</v>
      </c>
      <c r="E80" s="3">
        <v>44418.0</v>
      </c>
      <c r="F80" s="1" t="s">
        <v>3</v>
      </c>
      <c r="G80" s="4">
        <v>2.04039211E8</v>
      </c>
      <c r="I80" s="2"/>
      <c r="J80" s="1" t="s">
        <v>244</v>
      </c>
      <c r="K80" s="1">
        <v>2640.0</v>
      </c>
      <c r="L80" s="1"/>
      <c r="M80" s="5">
        <v>11.53</v>
      </c>
    </row>
    <row r="81" ht="15.75" hidden="1" customHeight="1">
      <c r="A81" s="1" t="s">
        <v>257</v>
      </c>
      <c r="B81" s="2">
        <v>103.0</v>
      </c>
      <c r="C81" s="1" t="s">
        <v>255</v>
      </c>
      <c r="D81" s="1" t="s">
        <v>258</v>
      </c>
      <c r="E81" s="3">
        <v>44419.0</v>
      </c>
      <c r="F81" s="1" t="s">
        <v>3</v>
      </c>
      <c r="G81" s="4">
        <v>2.04048211E8</v>
      </c>
      <c r="H81" s="1" t="s">
        <v>259</v>
      </c>
      <c r="I81" s="2"/>
      <c r="J81" s="1" t="s">
        <v>244</v>
      </c>
      <c r="K81" s="1">
        <v>7260.0</v>
      </c>
      <c r="L81" s="1"/>
      <c r="M81" s="5">
        <v>6.13</v>
      </c>
    </row>
    <row r="82" ht="15.75" hidden="1" customHeight="1">
      <c r="A82" s="1" t="s">
        <v>260</v>
      </c>
      <c r="B82" s="2">
        <v>88.0</v>
      </c>
      <c r="C82" s="1" t="s">
        <v>27</v>
      </c>
      <c r="D82" s="1" t="s">
        <v>261</v>
      </c>
      <c r="E82" s="3">
        <v>44418.0</v>
      </c>
      <c r="F82" s="1" t="s">
        <v>3</v>
      </c>
      <c r="G82" s="4">
        <v>2.04050211E8</v>
      </c>
      <c r="I82" s="2"/>
      <c r="J82" s="1" t="s">
        <v>244</v>
      </c>
      <c r="K82" s="1">
        <v>1980.0</v>
      </c>
      <c r="L82" s="1"/>
      <c r="M82" s="5">
        <v>8.68</v>
      </c>
    </row>
    <row r="83" ht="15.75" hidden="1" customHeight="1">
      <c r="A83" s="1" t="s">
        <v>262</v>
      </c>
      <c r="B83" s="2">
        <v>115.0</v>
      </c>
      <c r="C83" s="1" t="s">
        <v>255</v>
      </c>
      <c r="D83" s="1" t="s">
        <v>263</v>
      </c>
      <c r="E83" s="3">
        <v>44424.0</v>
      </c>
      <c r="F83" s="1" t="s">
        <v>3</v>
      </c>
      <c r="G83" s="4">
        <v>2.04072211E8</v>
      </c>
      <c r="H83" s="1" t="s">
        <v>264</v>
      </c>
      <c r="I83" s="2"/>
      <c r="J83" s="1" t="s">
        <v>244</v>
      </c>
      <c r="K83" s="1">
        <v>2200.0</v>
      </c>
      <c r="L83" s="1"/>
      <c r="M83" s="5">
        <v>11.46</v>
      </c>
    </row>
    <row r="84" ht="15.75" hidden="1" customHeight="1">
      <c r="A84" s="1" t="s">
        <v>265</v>
      </c>
      <c r="B84" s="2">
        <v>129.0</v>
      </c>
      <c r="C84" s="1" t="s">
        <v>27</v>
      </c>
      <c r="D84" s="1" t="s">
        <v>266</v>
      </c>
      <c r="E84" s="3">
        <v>44426.0</v>
      </c>
      <c r="F84" s="1" t="s">
        <v>3</v>
      </c>
      <c r="G84" s="4">
        <v>2.04078211E8</v>
      </c>
      <c r="H84" s="1" t="s">
        <v>267</v>
      </c>
      <c r="I84" s="2"/>
      <c r="J84" s="1" t="s">
        <v>244</v>
      </c>
      <c r="K84" s="1">
        <v>1100.0</v>
      </c>
      <c r="L84" s="1"/>
      <c r="M84" s="5">
        <v>7.75</v>
      </c>
    </row>
    <row r="85" ht="15.75" hidden="1" customHeight="1">
      <c r="A85" s="1" t="s">
        <v>268</v>
      </c>
      <c r="B85" s="2">
        <v>172.0</v>
      </c>
      <c r="C85" s="1" t="s">
        <v>80</v>
      </c>
      <c r="D85" s="1" t="s">
        <v>269</v>
      </c>
      <c r="E85" s="3">
        <v>44467.0</v>
      </c>
      <c r="F85" s="1" t="s">
        <v>3</v>
      </c>
      <c r="G85" s="4">
        <v>2.04083211E8</v>
      </c>
      <c r="H85" s="1" t="s">
        <v>270</v>
      </c>
      <c r="I85" s="2"/>
      <c r="J85" s="1" t="s">
        <v>244</v>
      </c>
      <c r="K85" s="1">
        <v>600.0</v>
      </c>
      <c r="L85" s="1"/>
      <c r="M85" s="5">
        <v>5.78</v>
      </c>
    </row>
    <row r="86" ht="15.75" hidden="1" customHeight="1">
      <c r="A86" s="1" t="s">
        <v>271</v>
      </c>
      <c r="B86" s="2">
        <v>169.0</v>
      </c>
      <c r="C86" s="1" t="s">
        <v>27</v>
      </c>
      <c r="D86" s="1" t="s">
        <v>272</v>
      </c>
      <c r="E86" s="3">
        <v>44467.0</v>
      </c>
      <c r="F86" s="1" t="s">
        <v>3</v>
      </c>
      <c r="G86" s="4">
        <v>2.04087211E8</v>
      </c>
      <c r="H86" s="1" t="s">
        <v>273</v>
      </c>
      <c r="I86" s="2"/>
      <c r="J86" s="1" t="s">
        <v>244</v>
      </c>
      <c r="K86" s="1">
        <v>1100.0</v>
      </c>
      <c r="L86" s="1"/>
      <c r="M86" s="5">
        <v>7.46</v>
      </c>
    </row>
    <row r="87" ht="15.75" hidden="1" customHeight="1">
      <c r="A87" s="1" t="s">
        <v>274</v>
      </c>
      <c r="B87" s="2">
        <v>234.0</v>
      </c>
      <c r="C87" s="1" t="s">
        <v>27</v>
      </c>
      <c r="D87" s="1" t="s">
        <v>275</v>
      </c>
      <c r="E87" s="3">
        <v>44533.0</v>
      </c>
      <c r="F87" s="1" t="s">
        <v>3</v>
      </c>
      <c r="G87" s="4">
        <v>2.04153211E8</v>
      </c>
      <c r="H87" s="1" t="s">
        <v>276</v>
      </c>
      <c r="I87" s="2"/>
      <c r="J87" s="1" t="s">
        <v>244</v>
      </c>
      <c r="K87" s="1">
        <v>1100.0</v>
      </c>
      <c r="L87" s="1"/>
      <c r="M87" s="5">
        <v>7.46</v>
      </c>
    </row>
    <row r="88" ht="15.75" hidden="1" customHeight="1">
      <c r="A88" s="1" t="s">
        <v>277</v>
      </c>
      <c r="B88" s="2">
        <v>236.0</v>
      </c>
      <c r="C88" s="1" t="s">
        <v>27</v>
      </c>
      <c r="D88" s="1" t="s">
        <v>278</v>
      </c>
      <c r="E88" s="3">
        <v>44539.0</v>
      </c>
      <c r="F88" s="1" t="s">
        <v>3</v>
      </c>
      <c r="G88" s="4">
        <v>2.04153211E8</v>
      </c>
      <c r="H88" s="1" t="s">
        <v>276</v>
      </c>
      <c r="I88" s="2"/>
      <c r="J88" s="1" t="s">
        <v>244</v>
      </c>
      <c r="K88" s="1">
        <v>5060.0</v>
      </c>
      <c r="L88" s="1"/>
      <c r="M88" s="5">
        <v>5.56</v>
      </c>
    </row>
    <row r="89" ht="15.75" hidden="1" customHeight="1">
      <c r="A89" s="1" t="s">
        <v>279</v>
      </c>
      <c r="B89" s="2">
        <v>15.0</v>
      </c>
      <c r="C89" s="1" t="s">
        <v>246</v>
      </c>
      <c r="D89" s="1" t="s">
        <v>280</v>
      </c>
      <c r="E89" s="3">
        <v>44417.0</v>
      </c>
      <c r="F89" s="1" t="s">
        <v>3</v>
      </c>
      <c r="G89" s="4">
        <v>2.04156201E8</v>
      </c>
      <c r="I89" s="2"/>
      <c r="J89" s="1" t="s">
        <v>244</v>
      </c>
      <c r="K89" s="1">
        <v>1540.0</v>
      </c>
      <c r="L89" s="1"/>
      <c r="M89" s="5">
        <v>6.95</v>
      </c>
    </row>
    <row r="90" ht="15.75" hidden="1" customHeight="1">
      <c r="A90" s="1" t="s">
        <v>281</v>
      </c>
      <c r="B90" s="2">
        <v>239.0</v>
      </c>
      <c r="C90" s="1" t="s">
        <v>282</v>
      </c>
      <c r="D90" s="1" t="s">
        <v>283</v>
      </c>
      <c r="E90" s="3">
        <v>44539.0</v>
      </c>
      <c r="F90" s="1" t="s">
        <v>3</v>
      </c>
      <c r="G90" s="4">
        <v>2.04156211E8</v>
      </c>
      <c r="H90" s="1" t="s">
        <v>284</v>
      </c>
      <c r="I90" s="2"/>
      <c r="J90" s="1" t="s">
        <v>244</v>
      </c>
      <c r="K90" s="1">
        <v>100.0</v>
      </c>
      <c r="L90" s="1"/>
      <c r="M90" s="5">
        <v>16.87</v>
      </c>
    </row>
    <row r="91" ht="15.75" hidden="1" customHeight="1">
      <c r="A91" s="1" t="s">
        <v>285</v>
      </c>
      <c r="B91" s="2">
        <v>539.0</v>
      </c>
      <c r="C91" s="1" t="s">
        <v>286</v>
      </c>
      <c r="D91" s="1" t="s">
        <v>287</v>
      </c>
      <c r="E91" s="3">
        <v>45009.0</v>
      </c>
      <c r="F91" s="1" t="s">
        <v>3</v>
      </c>
      <c r="G91" s="4">
        <v>2.05039231E8</v>
      </c>
      <c r="H91" s="1" t="s">
        <v>288</v>
      </c>
      <c r="I91" s="2"/>
      <c r="J91" s="1" t="s">
        <v>289</v>
      </c>
      <c r="K91" s="1">
        <v>18146.0</v>
      </c>
      <c r="L91" s="1"/>
      <c r="M91" s="5">
        <v>2.23</v>
      </c>
    </row>
    <row r="92" ht="15.75" hidden="1" customHeight="1">
      <c r="A92" s="1" t="s">
        <v>290</v>
      </c>
      <c r="B92" s="2">
        <v>550.0</v>
      </c>
      <c r="C92" s="1" t="s">
        <v>286</v>
      </c>
      <c r="D92" s="1" t="s">
        <v>291</v>
      </c>
      <c r="E92" s="3">
        <v>45027.0</v>
      </c>
      <c r="F92" s="1" t="s">
        <v>3</v>
      </c>
      <c r="G92" s="4">
        <v>2.05039231E8</v>
      </c>
      <c r="H92" s="1" t="s">
        <v>288</v>
      </c>
      <c r="I92" s="2"/>
      <c r="J92" s="1" t="s">
        <v>289</v>
      </c>
      <c r="K92" s="1">
        <v>18146.85</v>
      </c>
      <c r="L92" s="1"/>
      <c r="M92" s="5">
        <v>2.23</v>
      </c>
    </row>
    <row r="93" ht="15.75" hidden="1" customHeight="1">
      <c r="A93" s="1" t="s">
        <v>292</v>
      </c>
      <c r="B93" s="2">
        <v>532.0</v>
      </c>
      <c r="C93" s="1" t="s">
        <v>286</v>
      </c>
      <c r="D93" s="1" t="s">
        <v>293</v>
      </c>
      <c r="E93" s="3">
        <v>45008.0</v>
      </c>
      <c r="F93" s="1" t="s">
        <v>3</v>
      </c>
      <c r="G93" s="4">
        <v>2.05042231E8</v>
      </c>
      <c r="H93" s="1" t="s">
        <v>294</v>
      </c>
      <c r="I93" s="2"/>
      <c r="J93" s="1" t="s">
        <v>289</v>
      </c>
      <c r="K93" s="1">
        <v>1326.7</v>
      </c>
      <c r="L93" s="1"/>
      <c r="M93" s="5">
        <v>2.33</v>
      </c>
    </row>
    <row r="94" ht="15.75" hidden="1" customHeight="1">
      <c r="A94" s="1" t="s">
        <v>295</v>
      </c>
      <c r="B94" s="2">
        <v>608.0</v>
      </c>
      <c r="C94" s="1" t="s">
        <v>286</v>
      </c>
      <c r="D94" s="1" t="s">
        <v>296</v>
      </c>
      <c r="E94" s="1" t="s">
        <v>60</v>
      </c>
      <c r="F94" s="1" t="s">
        <v>3</v>
      </c>
      <c r="G94" s="4">
        <v>2.05042231E8</v>
      </c>
      <c r="H94" s="1" t="s">
        <v>294</v>
      </c>
      <c r="I94" s="2"/>
      <c r="J94" s="1" t="s">
        <v>289</v>
      </c>
      <c r="K94" s="1">
        <v>1320.0</v>
      </c>
      <c r="L94" s="1"/>
      <c r="M94" s="5">
        <v>2.33</v>
      </c>
    </row>
    <row r="95" ht="15.75" hidden="1" customHeight="1">
      <c r="A95" s="1" t="s">
        <v>297</v>
      </c>
      <c r="B95" s="2">
        <v>609.0</v>
      </c>
      <c r="C95" s="1" t="s">
        <v>286</v>
      </c>
      <c r="D95" s="1" t="s">
        <v>298</v>
      </c>
      <c r="E95" s="1" t="s">
        <v>60</v>
      </c>
      <c r="F95" s="1" t="s">
        <v>3</v>
      </c>
      <c r="G95" s="4">
        <v>2.05042231E8</v>
      </c>
      <c r="H95" s="1" t="s">
        <v>294</v>
      </c>
      <c r="I95" s="2"/>
      <c r="J95" s="1" t="s">
        <v>289</v>
      </c>
      <c r="K95" s="1">
        <v>1320.0</v>
      </c>
      <c r="L95" s="1"/>
      <c r="M95" s="5">
        <v>2.33</v>
      </c>
    </row>
    <row r="96" ht="15.75" hidden="1" customHeight="1">
      <c r="A96" s="1" t="s">
        <v>299</v>
      </c>
      <c r="B96" s="2">
        <v>610.0</v>
      </c>
      <c r="C96" s="1" t="s">
        <v>286</v>
      </c>
      <c r="D96" s="1" t="s">
        <v>300</v>
      </c>
      <c r="E96" s="3">
        <v>45000.0</v>
      </c>
      <c r="F96" s="1" t="s">
        <v>3</v>
      </c>
      <c r="G96" s="4">
        <v>2.05042231E8</v>
      </c>
      <c r="H96" s="1" t="s">
        <v>294</v>
      </c>
      <c r="I96" s="2"/>
      <c r="J96" s="1" t="s">
        <v>289</v>
      </c>
      <c r="K96" s="1">
        <v>1320.0</v>
      </c>
      <c r="L96" s="1"/>
      <c r="M96" s="5">
        <v>2.33</v>
      </c>
    </row>
    <row r="97" ht="15.75" hidden="1" customHeight="1">
      <c r="A97" s="1" t="s">
        <v>301</v>
      </c>
      <c r="B97" s="2">
        <v>95.0</v>
      </c>
      <c r="C97" s="1" t="s">
        <v>80</v>
      </c>
      <c r="D97" s="1" t="s">
        <v>302</v>
      </c>
      <c r="E97" s="3">
        <v>44418.0</v>
      </c>
      <c r="F97" s="1" t="s">
        <v>3</v>
      </c>
      <c r="G97" s="4">
        <v>2.05051211E8</v>
      </c>
      <c r="I97" s="2"/>
      <c r="J97" s="1" t="s">
        <v>244</v>
      </c>
      <c r="K97" s="1">
        <v>4000.0</v>
      </c>
      <c r="L97" s="1"/>
      <c r="M97" s="5">
        <v>1.15</v>
      </c>
    </row>
    <row r="98" ht="15.75" hidden="1" customHeight="1">
      <c r="A98" s="1" t="s">
        <v>303</v>
      </c>
      <c r="B98" s="2">
        <v>556.0</v>
      </c>
      <c r="C98" s="1" t="s">
        <v>286</v>
      </c>
      <c r="D98" s="1" t="s">
        <v>304</v>
      </c>
      <c r="E98" s="3">
        <v>45033.0</v>
      </c>
      <c r="F98" s="1" t="s">
        <v>3</v>
      </c>
      <c r="G98" s="4">
        <v>2.05051231E8</v>
      </c>
      <c r="H98" s="1" t="s">
        <v>305</v>
      </c>
      <c r="I98" s="2"/>
      <c r="J98" s="1" t="s">
        <v>289</v>
      </c>
      <c r="K98" s="1">
        <v>0.0</v>
      </c>
      <c r="L98" s="1"/>
      <c r="M98" s="5">
        <v>2.62</v>
      </c>
    </row>
    <row r="99" ht="15.75" hidden="1" customHeight="1">
      <c r="A99" s="1" t="s">
        <v>306</v>
      </c>
      <c r="B99" s="2">
        <v>621.0</v>
      </c>
      <c r="C99" s="1" t="s">
        <v>286</v>
      </c>
      <c r="D99" s="1" t="s">
        <v>307</v>
      </c>
      <c r="E99" s="1" t="s">
        <v>60</v>
      </c>
      <c r="F99" s="1" t="s">
        <v>3</v>
      </c>
      <c r="G99" s="4">
        <v>2.05051231E8</v>
      </c>
      <c r="H99" s="1" t="s">
        <v>305</v>
      </c>
      <c r="I99" s="2"/>
      <c r="J99" s="1" t="s">
        <v>289</v>
      </c>
      <c r="K99" s="1">
        <v>14.5</v>
      </c>
      <c r="L99" s="1"/>
      <c r="M99" s="5">
        <v>2.62</v>
      </c>
    </row>
    <row r="100" ht="15.75" hidden="1" customHeight="1">
      <c r="A100" s="1" t="s">
        <v>301</v>
      </c>
      <c r="B100" s="2">
        <v>95.0</v>
      </c>
      <c r="C100" s="1" t="s">
        <v>80</v>
      </c>
      <c r="D100" s="1" t="s">
        <v>302</v>
      </c>
      <c r="E100" s="3">
        <v>44418.0</v>
      </c>
      <c r="F100" s="1" t="s">
        <v>3</v>
      </c>
      <c r="G100" s="4">
        <v>2.05052211E8</v>
      </c>
      <c r="I100" s="2"/>
      <c r="J100" s="1" t="s">
        <v>244</v>
      </c>
      <c r="K100" s="1">
        <v>4180.0</v>
      </c>
      <c r="L100" s="1"/>
      <c r="M100" s="5">
        <v>1.15</v>
      </c>
    </row>
    <row r="101" ht="15.75" hidden="1" customHeight="1">
      <c r="A101" s="1" t="s">
        <v>308</v>
      </c>
      <c r="B101" s="2">
        <v>354.0</v>
      </c>
      <c r="C101" s="1" t="s">
        <v>286</v>
      </c>
      <c r="D101" s="1" t="s">
        <v>309</v>
      </c>
      <c r="E101" s="3">
        <v>44713.0</v>
      </c>
      <c r="F101" s="1" t="s">
        <v>3</v>
      </c>
      <c r="G101" s="4">
        <v>2.05067221E8</v>
      </c>
      <c r="H101" s="1" t="s">
        <v>310</v>
      </c>
      <c r="I101" s="2"/>
      <c r="J101" s="1" t="s">
        <v>289</v>
      </c>
      <c r="K101" s="1">
        <v>1100.0</v>
      </c>
      <c r="L101" s="1"/>
      <c r="M101" s="5">
        <v>2.1</v>
      </c>
    </row>
    <row r="102" ht="15.75" hidden="1" customHeight="1">
      <c r="A102" s="1" t="s">
        <v>311</v>
      </c>
      <c r="B102" s="2">
        <v>400.0</v>
      </c>
      <c r="C102" s="1" t="s">
        <v>286</v>
      </c>
      <c r="D102" s="1" t="s">
        <v>312</v>
      </c>
      <c r="E102" s="3">
        <v>44781.0</v>
      </c>
      <c r="F102" s="1" t="s">
        <v>3</v>
      </c>
      <c r="G102" s="4">
        <v>2.05103221E8</v>
      </c>
      <c r="H102" s="1" t="s">
        <v>313</v>
      </c>
      <c r="I102" s="2"/>
      <c r="J102" s="1" t="s">
        <v>289</v>
      </c>
      <c r="K102" s="1">
        <v>880.0</v>
      </c>
      <c r="L102" s="1"/>
      <c r="M102" s="5">
        <v>2.1</v>
      </c>
    </row>
    <row r="103" ht="15.75" hidden="1" customHeight="1">
      <c r="A103" s="1" t="s">
        <v>314</v>
      </c>
      <c r="B103" s="2">
        <v>424.0</v>
      </c>
      <c r="C103" s="1" t="s">
        <v>286</v>
      </c>
      <c r="D103" s="1" t="s">
        <v>315</v>
      </c>
      <c r="E103" s="3">
        <v>44812.0</v>
      </c>
      <c r="F103" s="1" t="s">
        <v>3</v>
      </c>
      <c r="G103" s="4">
        <v>2.05124221E8</v>
      </c>
      <c r="H103" s="1" t="s">
        <v>316</v>
      </c>
      <c r="I103" s="2"/>
      <c r="J103" s="1" t="s">
        <v>289</v>
      </c>
      <c r="K103" s="1">
        <v>18083.99</v>
      </c>
      <c r="L103" s="1"/>
      <c r="M103" s="5">
        <v>2.17</v>
      </c>
    </row>
    <row r="104" ht="15.75" hidden="1" customHeight="1">
      <c r="A104" s="1" t="s">
        <v>317</v>
      </c>
      <c r="B104" s="2">
        <v>259.0</v>
      </c>
      <c r="C104" s="1" t="s">
        <v>80</v>
      </c>
      <c r="D104" s="1" t="s">
        <v>115</v>
      </c>
      <c r="E104" s="3">
        <v>44567.0</v>
      </c>
      <c r="F104" s="1" t="s">
        <v>3</v>
      </c>
      <c r="G104" s="4">
        <v>2.05161211E8</v>
      </c>
      <c r="H104" s="1" t="s">
        <v>318</v>
      </c>
      <c r="I104" s="2"/>
      <c r="J104" s="1" t="s">
        <v>289</v>
      </c>
      <c r="K104" s="1">
        <v>2000.0</v>
      </c>
      <c r="L104" s="1"/>
      <c r="M104" s="5">
        <v>1.25</v>
      </c>
    </row>
    <row r="105" ht="15.75" hidden="1" customHeight="1">
      <c r="A105" s="1" t="s">
        <v>317</v>
      </c>
      <c r="B105" s="2">
        <v>259.0</v>
      </c>
      <c r="C105" s="1" t="s">
        <v>80</v>
      </c>
      <c r="D105" s="1" t="s">
        <v>115</v>
      </c>
      <c r="E105" s="3">
        <v>44567.0</v>
      </c>
      <c r="F105" s="1" t="s">
        <v>3</v>
      </c>
      <c r="G105" s="4">
        <v>2.05162211E8</v>
      </c>
      <c r="H105" s="1" t="s">
        <v>319</v>
      </c>
      <c r="I105" s="2"/>
      <c r="J105" s="1" t="s">
        <v>289</v>
      </c>
      <c r="K105" s="1">
        <v>5060.0</v>
      </c>
      <c r="L105" s="1"/>
      <c r="M105" s="5">
        <v>1.25</v>
      </c>
    </row>
    <row r="106" ht="15.75" hidden="1" customHeight="1">
      <c r="A106" s="1" t="s">
        <v>320</v>
      </c>
      <c r="B106" s="2">
        <v>22.0</v>
      </c>
      <c r="C106" s="1" t="s">
        <v>321</v>
      </c>
      <c r="D106" s="1" t="s">
        <v>322</v>
      </c>
      <c r="E106" s="3">
        <v>44417.0</v>
      </c>
      <c r="F106" s="1" t="s">
        <v>3</v>
      </c>
      <c r="G106" s="4">
        <v>2.06010211E8</v>
      </c>
      <c r="I106" s="2"/>
      <c r="J106" s="1" t="s">
        <v>323</v>
      </c>
      <c r="K106" s="1">
        <v>5.0</v>
      </c>
      <c r="L106" s="1"/>
      <c r="M106" s="5">
        <v>70.87</v>
      </c>
    </row>
    <row r="107" ht="15.75" hidden="1" customHeight="1">
      <c r="A107" s="1" t="s">
        <v>324</v>
      </c>
      <c r="B107" s="2">
        <v>276.0</v>
      </c>
      <c r="C107" s="1" t="s">
        <v>325</v>
      </c>
      <c r="D107" s="1" t="s">
        <v>326</v>
      </c>
      <c r="E107" s="3">
        <v>44593.0</v>
      </c>
      <c r="F107" s="1" t="s">
        <v>3</v>
      </c>
      <c r="G107" s="4">
        <v>2.06013221E8</v>
      </c>
      <c r="H107" s="1" t="s">
        <v>327</v>
      </c>
      <c r="I107" s="2"/>
      <c r="J107" s="1" t="s">
        <v>323</v>
      </c>
      <c r="K107" s="1">
        <v>3.0</v>
      </c>
      <c r="L107" s="1"/>
      <c r="M107" s="5">
        <v>86.54</v>
      </c>
    </row>
    <row r="108" ht="15.75" hidden="1" customHeight="1">
      <c r="A108" s="1" t="s">
        <v>328</v>
      </c>
      <c r="B108" s="2">
        <v>350.0</v>
      </c>
      <c r="C108" s="1" t="s">
        <v>325</v>
      </c>
      <c r="D108" s="1" t="s">
        <v>329</v>
      </c>
      <c r="E108" s="3">
        <v>44708.0</v>
      </c>
      <c r="F108" s="1" t="s">
        <v>3</v>
      </c>
      <c r="G108" s="4">
        <v>2.06075221E8</v>
      </c>
      <c r="H108" s="1" t="s">
        <v>330</v>
      </c>
      <c r="I108" s="2"/>
      <c r="J108" s="1" t="s">
        <v>323</v>
      </c>
      <c r="K108" s="1">
        <v>7.0</v>
      </c>
      <c r="L108" s="1"/>
      <c r="M108" s="5">
        <v>70.87</v>
      </c>
    </row>
    <row r="109" ht="15.75" hidden="1" customHeight="1">
      <c r="A109" s="1" t="s">
        <v>331</v>
      </c>
      <c r="B109" s="2">
        <v>351.0</v>
      </c>
      <c r="C109" s="1" t="s">
        <v>325</v>
      </c>
      <c r="D109" s="1" t="s">
        <v>332</v>
      </c>
      <c r="E109" s="3">
        <v>44708.0</v>
      </c>
      <c r="F109" s="1" t="s">
        <v>3</v>
      </c>
      <c r="G109" s="4">
        <v>2.06075221E8</v>
      </c>
      <c r="H109" s="1" t="s">
        <v>330</v>
      </c>
      <c r="I109" s="2"/>
      <c r="J109" s="1" t="s">
        <v>323</v>
      </c>
      <c r="K109" s="1">
        <v>1.0</v>
      </c>
      <c r="L109" s="1"/>
      <c r="M109" s="5">
        <v>86.54</v>
      </c>
    </row>
    <row r="110" ht="15.75" hidden="1" customHeight="1">
      <c r="A110" s="1" t="s">
        <v>333</v>
      </c>
      <c r="B110" s="2">
        <v>127.0</v>
      </c>
      <c r="C110" s="1" t="s">
        <v>325</v>
      </c>
      <c r="D110" s="1" t="s">
        <v>334</v>
      </c>
      <c r="E110" s="3">
        <v>44424.0</v>
      </c>
      <c r="F110" s="1" t="s">
        <v>3</v>
      </c>
      <c r="G110" s="4">
        <v>2.06082211E8</v>
      </c>
      <c r="H110" s="1" t="s">
        <v>335</v>
      </c>
      <c r="I110" s="2"/>
      <c r="J110" s="1" t="s">
        <v>323</v>
      </c>
      <c r="K110" s="1">
        <v>10.0</v>
      </c>
      <c r="L110" s="1"/>
      <c r="M110" s="5">
        <v>67.79</v>
      </c>
    </row>
    <row r="111" ht="15.75" hidden="1" customHeight="1">
      <c r="A111" s="1" t="s">
        <v>336</v>
      </c>
      <c r="B111" s="2">
        <v>404.0</v>
      </c>
      <c r="C111" s="1" t="s">
        <v>325</v>
      </c>
      <c r="D111" s="1" t="s">
        <v>337</v>
      </c>
      <c r="E111" s="3">
        <v>44785.0</v>
      </c>
      <c r="F111" s="1" t="s">
        <v>3</v>
      </c>
      <c r="G111" s="4">
        <v>2.06104221E8</v>
      </c>
      <c r="H111" s="1" t="s">
        <v>338</v>
      </c>
      <c r="I111" s="2"/>
      <c r="J111" s="1" t="s">
        <v>323</v>
      </c>
      <c r="K111" s="1">
        <v>5.0</v>
      </c>
      <c r="L111" s="1"/>
      <c r="M111" s="5">
        <v>86.54</v>
      </c>
    </row>
    <row r="112" ht="15.75" hidden="1" customHeight="1">
      <c r="A112" s="1" t="s">
        <v>339</v>
      </c>
      <c r="B112" s="2">
        <v>422.0</v>
      </c>
      <c r="C112" s="1" t="s">
        <v>325</v>
      </c>
      <c r="D112" s="1" t="s">
        <v>340</v>
      </c>
      <c r="E112" s="3">
        <v>44811.0</v>
      </c>
      <c r="F112" s="1" t="s">
        <v>3</v>
      </c>
      <c r="G112" s="4">
        <v>2.06118221E8</v>
      </c>
      <c r="H112" s="1" t="s">
        <v>341</v>
      </c>
      <c r="I112" s="2"/>
      <c r="J112" s="1" t="s">
        <v>323</v>
      </c>
      <c r="K112" s="1">
        <v>3.0</v>
      </c>
      <c r="L112" s="1"/>
      <c r="M112" s="5">
        <v>86.54</v>
      </c>
    </row>
    <row r="113" ht="15.75" hidden="1" customHeight="1">
      <c r="A113" s="1" t="s">
        <v>342</v>
      </c>
      <c r="B113" s="2">
        <v>433.0</v>
      </c>
      <c r="C113" s="1" t="s">
        <v>343</v>
      </c>
      <c r="D113" s="1" t="s">
        <v>344</v>
      </c>
      <c r="E113" s="3">
        <v>44818.0</v>
      </c>
      <c r="F113" s="1" t="s">
        <v>3</v>
      </c>
      <c r="G113" s="4">
        <v>2.06118221E8</v>
      </c>
      <c r="H113" s="1" t="s">
        <v>341</v>
      </c>
      <c r="I113" s="2"/>
      <c r="J113" s="1" t="s">
        <v>323</v>
      </c>
      <c r="K113" s="1">
        <v>4.0</v>
      </c>
      <c r="L113" s="1"/>
      <c r="M113" s="5">
        <v>86.54</v>
      </c>
    </row>
    <row r="114" ht="15.75" hidden="1" customHeight="1">
      <c r="A114" s="1" t="s">
        <v>345</v>
      </c>
      <c r="B114" s="2">
        <v>602.0</v>
      </c>
      <c r="C114" s="1" t="s">
        <v>346</v>
      </c>
      <c r="D114" s="1" t="s">
        <v>347</v>
      </c>
      <c r="E114" s="1" t="s">
        <v>60</v>
      </c>
      <c r="F114" s="1" t="s">
        <v>3</v>
      </c>
      <c r="G114" s="4">
        <v>2.14006231E8</v>
      </c>
      <c r="H114" s="1" t="s">
        <v>348</v>
      </c>
      <c r="I114" s="2"/>
      <c r="J114" s="1" t="s">
        <v>5</v>
      </c>
      <c r="K114" s="1">
        <v>3.0</v>
      </c>
      <c r="L114" s="1"/>
      <c r="M114" s="5">
        <v>73.0</v>
      </c>
    </row>
    <row r="115" ht="15.75" hidden="1" customHeight="1">
      <c r="A115" s="1" t="s">
        <v>349</v>
      </c>
      <c r="B115" s="2">
        <v>43.0</v>
      </c>
      <c r="C115" s="1" t="s">
        <v>350</v>
      </c>
      <c r="D115" s="1" t="s">
        <v>351</v>
      </c>
      <c r="E115" s="3">
        <v>44417.0</v>
      </c>
      <c r="F115" s="1" t="s">
        <v>3</v>
      </c>
      <c r="G115" s="4">
        <v>2.14019211E8</v>
      </c>
      <c r="I115" s="2"/>
      <c r="J115" s="1" t="s">
        <v>352</v>
      </c>
      <c r="K115" s="1">
        <v>18000.0</v>
      </c>
      <c r="L115" s="1"/>
      <c r="M115" s="5">
        <v>14.0</v>
      </c>
    </row>
    <row r="116" ht="15.75" hidden="1" customHeight="1">
      <c r="A116" s="1" t="s">
        <v>353</v>
      </c>
      <c r="B116" s="2">
        <v>93.0</v>
      </c>
      <c r="C116" s="1" t="s">
        <v>346</v>
      </c>
      <c r="D116" s="1" t="s">
        <v>354</v>
      </c>
      <c r="E116" s="3">
        <v>44418.0</v>
      </c>
      <c r="F116" s="1" t="s">
        <v>3</v>
      </c>
      <c r="G116" s="4">
        <v>2.14019211E8</v>
      </c>
      <c r="I116" s="2"/>
      <c r="J116" s="1" t="s">
        <v>5</v>
      </c>
      <c r="K116" s="1">
        <v>5.0</v>
      </c>
      <c r="L116" s="1"/>
      <c r="M116" s="5">
        <v>65.0</v>
      </c>
    </row>
    <row r="117" ht="15.75" hidden="1" customHeight="1">
      <c r="A117" s="1" t="s">
        <v>355</v>
      </c>
      <c r="B117" s="2">
        <v>128.0</v>
      </c>
      <c r="C117" s="1" t="s">
        <v>346</v>
      </c>
      <c r="D117" s="1" t="s">
        <v>356</v>
      </c>
      <c r="E117" s="3">
        <v>44426.0</v>
      </c>
      <c r="F117" s="1" t="s">
        <v>3</v>
      </c>
      <c r="G117" s="4">
        <v>2.14019211E8</v>
      </c>
      <c r="H117" s="1" t="s">
        <v>357</v>
      </c>
      <c r="I117" s="2"/>
      <c r="J117" s="1" t="s">
        <v>5</v>
      </c>
      <c r="K117" s="1">
        <v>5.0</v>
      </c>
      <c r="L117" s="1"/>
      <c r="M117" s="5">
        <v>65.0</v>
      </c>
    </row>
    <row r="118" ht="15.75" hidden="1" customHeight="1">
      <c r="A118" s="1" t="s">
        <v>358</v>
      </c>
      <c r="B118" s="2">
        <v>303.0</v>
      </c>
      <c r="C118" s="1" t="s">
        <v>169</v>
      </c>
      <c r="D118" s="1" t="s">
        <v>359</v>
      </c>
      <c r="E118" s="3">
        <v>44634.0</v>
      </c>
      <c r="F118" s="1" t="s">
        <v>3</v>
      </c>
      <c r="G118" s="4">
        <v>2.14019221E8</v>
      </c>
      <c r="H118" s="1" t="s">
        <v>360</v>
      </c>
      <c r="I118" s="2"/>
      <c r="J118" s="1" t="s">
        <v>5</v>
      </c>
      <c r="K118" s="1">
        <v>1800.0</v>
      </c>
      <c r="L118" s="1"/>
      <c r="M118" s="5">
        <v>30.25</v>
      </c>
    </row>
    <row r="119" ht="15.75" hidden="1" customHeight="1">
      <c r="A119" s="1" t="s">
        <v>361</v>
      </c>
      <c r="B119" s="2">
        <v>123.0</v>
      </c>
      <c r="C119" s="1" t="s">
        <v>362</v>
      </c>
      <c r="D119" s="1" t="s">
        <v>363</v>
      </c>
      <c r="E119" s="3">
        <v>44424.0</v>
      </c>
      <c r="F119" s="1" t="s">
        <v>3</v>
      </c>
      <c r="G119" s="4">
        <v>2.14080211E8</v>
      </c>
      <c r="H119" s="1" t="s">
        <v>364</v>
      </c>
      <c r="I119" s="2"/>
      <c r="J119" s="1" t="s">
        <v>365</v>
      </c>
      <c r="K119" s="1">
        <v>30.0</v>
      </c>
      <c r="L119" s="1"/>
      <c r="M119" s="5">
        <v>50.0</v>
      </c>
    </row>
    <row r="120" ht="15.75" hidden="1" customHeight="1">
      <c r="A120" s="1" t="s">
        <v>366</v>
      </c>
      <c r="B120" s="2">
        <v>368.0</v>
      </c>
      <c r="C120" s="1" t="s">
        <v>350</v>
      </c>
      <c r="D120" s="1" t="s">
        <v>367</v>
      </c>
      <c r="E120" s="3">
        <v>44725.0</v>
      </c>
      <c r="F120" s="1" t="s">
        <v>3</v>
      </c>
      <c r="G120" s="4">
        <v>2.14080221E8</v>
      </c>
      <c r="H120" s="1" t="s">
        <v>368</v>
      </c>
      <c r="I120" s="2"/>
      <c r="J120" s="1" t="s">
        <v>5</v>
      </c>
      <c r="K120" s="1">
        <v>18000.0</v>
      </c>
      <c r="L120" s="1"/>
      <c r="M120" s="5">
        <v>14.0</v>
      </c>
    </row>
    <row r="121" ht="15.75" hidden="1" customHeight="1">
      <c r="A121" s="1" t="s">
        <v>369</v>
      </c>
      <c r="B121" s="2">
        <v>384.0</v>
      </c>
      <c r="C121" s="1" t="s">
        <v>346</v>
      </c>
      <c r="D121" s="1" t="s">
        <v>370</v>
      </c>
      <c r="E121" s="3">
        <v>44746.0</v>
      </c>
      <c r="F121" s="1" t="s">
        <v>3</v>
      </c>
      <c r="G121" s="4">
        <v>2.14080221E8</v>
      </c>
      <c r="H121" s="1" t="s">
        <v>368</v>
      </c>
      <c r="I121" s="2"/>
      <c r="J121" s="1" t="s">
        <v>5</v>
      </c>
      <c r="K121" s="1">
        <v>8.0</v>
      </c>
      <c r="L121" s="1"/>
      <c r="M121" s="5">
        <v>67.0</v>
      </c>
    </row>
    <row r="122" ht="15.75" hidden="1" customHeight="1">
      <c r="A122" s="1" t="s">
        <v>371</v>
      </c>
      <c r="B122" s="2">
        <v>160.0</v>
      </c>
      <c r="C122" s="1" t="s">
        <v>169</v>
      </c>
      <c r="D122" s="1" t="s">
        <v>372</v>
      </c>
      <c r="E122" s="3">
        <v>44461.0</v>
      </c>
      <c r="F122" s="1" t="s">
        <v>3</v>
      </c>
      <c r="G122" s="4">
        <v>2.14091211E8</v>
      </c>
      <c r="H122" s="1" t="s">
        <v>373</v>
      </c>
      <c r="I122" s="2"/>
      <c r="J122" s="1" t="s">
        <v>5</v>
      </c>
      <c r="K122" s="1">
        <v>1350.0</v>
      </c>
      <c r="L122" s="1"/>
      <c r="M122" s="5">
        <v>28.0</v>
      </c>
    </row>
    <row r="123" ht="15.75" hidden="1" customHeight="1">
      <c r="A123" s="1" t="s">
        <v>374</v>
      </c>
      <c r="B123" s="2">
        <v>196.0</v>
      </c>
      <c r="C123" s="1" t="s">
        <v>169</v>
      </c>
      <c r="D123" s="1" t="s">
        <v>375</v>
      </c>
      <c r="E123" s="3">
        <v>44476.0</v>
      </c>
      <c r="F123" s="1" t="s">
        <v>3</v>
      </c>
      <c r="G123" s="4">
        <v>2.14091211E8</v>
      </c>
      <c r="H123" s="1" t="s">
        <v>373</v>
      </c>
      <c r="I123" s="2"/>
      <c r="J123" s="1" t="s">
        <v>365</v>
      </c>
      <c r="K123" s="1">
        <v>2.27</v>
      </c>
      <c r="L123" s="1"/>
      <c r="M123" s="5">
        <v>47.996</v>
      </c>
    </row>
    <row r="124" ht="15.75" hidden="1" customHeight="1">
      <c r="A124" s="1" t="s">
        <v>376</v>
      </c>
      <c r="B124" s="2">
        <v>284.0</v>
      </c>
      <c r="C124" s="1" t="s">
        <v>346</v>
      </c>
      <c r="D124" s="1" t="s">
        <v>377</v>
      </c>
      <c r="E124" s="3">
        <v>44608.0</v>
      </c>
      <c r="F124" s="1" t="s">
        <v>3</v>
      </c>
      <c r="G124" s="4">
        <v>2.14091211E8</v>
      </c>
      <c r="H124" s="1" t="s">
        <v>373</v>
      </c>
      <c r="I124" s="2"/>
      <c r="J124" s="1" t="s">
        <v>5</v>
      </c>
      <c r="K124" s="1">
        <v>10.0</v>
      </c>
      <c r="L124" s="1"/>
      <c r="M124" s="5">
        <v>67.0</v>
      </c>
    </row>
    <row r="125" ht="15.75" hidden="1" customHeight="1">
      <c r="A125" s="1" t="s">
        <v>378</v>
      </c>
      <c r="B125" s="2">
        <v>165.0</v>
      </c>
      <c r="C125" s="1" t="s">
        <v>350</v>
      </c>
      <c r="D125" s="1" t="s">
        <v>379</v>
      </c>
      <c r="E125" s="3">
        <v>44461.0</v>
      </c>
      <c r="F125" s="1" t="s">
        <v>3</v>
      </c>
      <c r="G125" s="4">
        <v>2.14095211E8</v>
      </c>
      <c r="H125" s="1" t="s">
        <v>380</v>
      </c>
      <c r="I125" s="2"/>
      <c r="J125" s="1" t="s">
        <v>5</v>
      </c>
      <c r="K125" s="1">
        <v>18000.0</v>
      </c>
      <c r="L125" s="1"/>
      <c r="M125" s="5">
        <v>14.0</v>
      </c>
    </row>
    <row r="126" ht="15.75" hidden="1" customHeight="1">
      <c r="A126" s="1" t="s">
        <v>381</v>
      </c>
      <c r="B126" s="2">
        <v>403.0</v>
      </c>
      <c r="C126" s="1" t="s">
        <v>346</v>
      </c>
      <c r="D126" s="1" t="s">
        <v>382</v>
      </c>
      <c r="E126" s="3">
        <v>44784.0</v>
      </c>
      <c r="F126" s="1" t="s">
        <v>3</v>
      </c>
      <c r="G126" s="4">
        <v>2.14120221E8</v>
      </c>
      <c r="H126" s="1" t="s">
        <v>383</v>
      </c>
      <c r="I126" s="2"/>
      <c r="J126" s="1" t="s">
        <v>5</v>
      </c>
      <c r="K126" s="1">
        <v>10.0</v>
      </c>
      <c r="L126" s="1"/>
      <c r="M126" s="5">
        <v>67.0</v>
      </c>
    </row>
    <row r="127" ht="15.75" hidden="1" customHeight="1">
      <c r="A127" s="1" t="s">
        <v>384</v>
      </c>
      <c r="B127" s="2">
        <v>481.0</v>
      </c>
      <c r="C127" s="1" t="s">
        <v>169</v>
      </c>
      <c r="D127" s="1" t="s">
        <v>385</v>
      </c>
      <c r="E127" s="3">
        <v>44895.0</v>
      </c>
      <c r="F127" s="1" t="s">
        <v>3</v>
      </c>
      <c r="G127" s="4">
        <v>2.14126221E8</v>
      </c>
      <c r="H127" s="1" t="s">
        <v>386</v>
      </c>
      <c r="I127" s="2"/>
      <c r="J127" s="1" t="s">
        <v>5</v>
      </c>
      <c r="K127" s="1">
        <v>2.27</v>
      </c>
      <c r="L127" s="1"/>
      <c r="M127" s="5">
        <v>48.0</v>
      </c>
    </row>
    <row r="128" ht="15.75" hidden="1" customHeight="1">
      <c r="A128" s="1" t="s">
        <v>387</v>
      </c>
      <c r="B128" s="2">
        <v>446.0</v>
      </c>
      <c r="C128" s="1" t="s">
        <v>350</v>
      </c>
      <c r="D128" s="1" t="s">
        <v>388</v>
      </c>
      <c r="E128" s="3">
        <v>44847.0</v>
      </c>
      <c r="F128" s="1" t="s">
        <v>3</v>
      </c>
      <c r="G128" s="4">
        <v>2.14129221E8</v>
      </c>
      <c r="H128" s="1" t="s">
        <v>389</v>
      </c>
      <c r="I128" s="2"/>
      <c r="J128" s="1" t="s">
        <v>5</v>
      </c>
      <c r="K128" s="1">
        <v>18000.0</v>
      </c>
      <c r="L128" s="1"/>
      <c r="M128" s="5">
        <v>14.0</v>
      </c>
    </row>
    <row r="129" ht="15.75" hidden="1" customHeight="1">
      <c r="A129" s="1" t="s">
        <v>390</v>
      </c>
      <c r="B129" s="2">
        <v>267.0</v>
      </c>
      <c r="C129" s="1" t="s">
        <v>350</v>
      </c>
      <c r="D129" s="1" t="s">
        <v>391</v>
      </c>
      <c r="E129" s="3">
        <v>44586.0</v>
      </c>
      <c r="F129" s="1" t="s">
        <v>3</v>
      </c>
      <c r="G129" s="4">
        <v>2.14163211E8</v>
      </c>
      <c r="H129" s="1" t="s">
        <v>392</v>
      </c>
      <c r="I129" s="2"/>
      <c r="J129" s="1" t="s">
        <v>5</v>
      </c>
      <c r="K129" s="1">
        <v>18000.0</v>
      </c>
      <c r="L129" s="1"/>
      <c r="M129" s="5">
        <v>14.0</v>
      </c>
    </row>
    <row r="130" ht="15.75" hidden="1" customHeight="1">
      <c r="A130" s="1" t="s">
        <v>393</v>
      </c>
      <c r="B130" s="2">
        <v>322.0</v>
      </c>
      <c r="C130" s="1" t="s">
        <v>362</v>
      </c>
      <c r="D130" s="1" t="s">
        <v>394</v>
      </c>
      <c r="E130" s="3">
        <v>44659.0</v>
      </c>
      <c r="F130" s="1" t="s">
        <v>3</v>
      </c>
      <c r="G130" s="4">
        <v>2.14163211E8</v>
      </c>
      <c r="H130" s="1" t="s">
        <v>392</v>
      </c>
      <c r="I130" s="2"/>
      <c r="J130" s="1" t="s">
        <v>5</v>
      </c>
      <c r="K130" s="1">
        <v>20.0</v>
      </c>
      <c r="L130" s="1"/>
      <c r="M130" s="5">
        <v>50.0</v>
      </c>
    </row>
    <row r="131" ht="15.75" hidden="1" customHeight="1">
      <c r="A131" s="1" t="s">
        <v>395</v>
      </c>
      <c r="B131" s="2">
        <v>329.0</v>
      </c>
      <c r="C131" s="1" t="s">
        <v>396</v>
      </c>
      <c r="D131" s="1" t="s">
        <v>397</v>
      </c>
      <c r="E131" s="3">
        <v>44676.0</v>
      </c>
      <c r="F131" s="1" t="s">
        <v>3</v>
      </c>
      <c r="G131" s="4">
        <v>2.14163211E8</v>
      </c>
      <c r="H131" s="1" t="s">
        <v>392</v>
      </c>
      <c r="I131" s="2"/>
      <c r="J131" s="1" t="s">
        <v>5</v>
      </c>
      <c r="K131" s="1">
        <v>50.0</v>
      </c>
      <c r="L131" s="1"/>
      <c r="M131" s="5">
        <v>109.63</v>
      </c>
    </row>
    <row r="132" ht="15.75" hidden="1" customHeight="1">
      <c r="A132" s="1" t="s">
        <v>398</v>
      </c>
      <c r="B132" s="2">
        <v>280.0</v>
      </c>
      <c r="C132" s="1" t="s">
        <v>399</v>
      </c>
      <c r="D132" s="1" t="s">
        <v>400</v>
      </c>
      <c r="E132" s="3">
        <v>44603.0</v>
      </c>
      <c r="F132" s="1" t="s">
        <v>3</v>
      </c>
      <c r="G132" s="4">
        <v>2.19004221E8</v>
      </c>
      <c r="H132" s="1" t="s">
        <v>401</v>
      </c>
      <c r="I132" s="2"/>
      <c r="J132" s="1" t="s">
        <v>124</v>
      </c>
      <c r="K132" s="1">
        <v>1000.0</v>
      </c>
      <c r="L132" s="1"/>
      <c r="M132" s="5">
        <v>113.0</v>
      </c>
    </row>
    <row r="133" ht="15.75" hidden="1" customHeight="1">
      <c r="A133" s="1" t="s">
        <v>402</v>
      </c>
      <c r="B133" s="2">
        <v>309.0</v>
      </c>
      <c r="C133" s="1" t="s">
        <v>135</v>
      </c>
      <c r="D133" s="1" t="s">
        <v>403</v>
      </c>
      <c r="E133" s="3">
        <v>44643.0</v>
      </c>
      <c r="F133" s="1" t="s">
        <v>3</v>
      </c>
      <c r="G133" s="4">
        <v>2.19005221E8</v>
      </c>
      <c r="H133" s="1" t="s">
        <v>404</v>
      </c>
      <c r="I133" s="2"/>
      <c r="J133" s="1" t="s">
        <v>9</v>
      </c>
      <c r="K133" s="1">
        <v>25.0</v>
      </c>
      <c r="L133" s="1"/>
      <c r="M133" s="5">
        <v>125.0</v>
      </c>
    </row>
    <row r="134" ht="15.75" hidden="1" customHeight="1">
      <c r="A134" s="1" t="s">
        <v>405</v>
      </c>
      <c r="B134" s="2">
        <v>310.0</v>
      </c>
      <c r="C134" s="1" t="s">
        <v>219</v>
      </c>
      <c r="D134" s="1" t="s">
        <v>406</v>
      </c>
      <c r="E134" s="3">
        <v>44644.0</v>
      </c>
      <c r="F134" s="1" t="s">
        <v>3</v>
      </c>
      <c r="G134" s="4">
        <v>2.19005221E8</v>
      </c>
      <c r="H134" s="1" t="s">
        <v>404</v>
      </c>
      <c r="I134" s="2"/>
      <c r="J134" s="1" t="s">
        <v>124</v>
      </c>
      <c r="K134" s="1">
        <v>50.0</v>
      </c>
      <c r="L134" s="1"/>
      <c r="M134" s="5">
        <v>100.0</v>
      </c>
    </row>
    <row r="135" ht="15.75" hidden="1" customHeight="1">
      <c r="A135" s="1" t="s">
        <v>407</v>
      </c>
      <c r="B135" s="2">
        <v>516.0</v>
      </c>
      <c r="C135" s="1" t="s">
        <v>408</v>
      </c>
      <c r="D135" s="1" t="s">
        <v>409</v>
      </c>
      <c r="E135" s="3">
        <v>44965.0</v>
      </c>
      <c r="F135" s="1" t="s">
        <v>3</v>
      </c>
      <c r="G135" s="4">
        <v>2.19009231E8</v>
      </c>
      <c r="H135" s="1" t="s">
        <v>410</v>
      </c>
      <c r="I135" s="2"/>
      <c r="J135" s="1" t="s">
        <v>124</v>
      </c>
      <c r="K135" s="1">
        <v>125.0</v>
      </c>
      <c r="L135" s="1"/>
      <c r="M135" s="5">
        <v>48.17</v>
      </c>
    </row>
    <row r="136" ht="15.75" hidden="1" customHeight="1">
      <c r="A136" s="1" t="s">
        <v>411</v>
      </c>
      <c r="B136" s="2">
        <v>67.0</v>
      </c>
      <c r="C136" s="1" t="s">
        <v>412</v>
      </c>
      <c r="D136" s="1" t="s">
        <v>413</v>
      </c>
      <c r="E136" s="3">
        <v>44418.0</v>
      </c>
      <c r="F136" s="1" t="s">
        <v>3</v>
      </c>
      <c r="G136" s="4">
        <v>2.19012211E8</v>
      </c>
      <c r="I136" s="2"/>
      <c r="J136" s="1" t="s">
        <v>124</v>
      </c>
      <c r="K136" s="1">
        <v>30.0</v>
      </c>
      <c r="L136" s="1"/>
      <c r="M136" s="5">
        <v>143.51</v>
      </c>
    </row>
    <row r="137" ht="15.75" hidden="1" customHeight="1">
      <c r="A137" s="1" t="s">
        <v>414</v>
      </c>
      <c r="B137" s="2">
        <v>71.0</v>
      </c>
      <c r="C137" s="1" t="s">
        <v>286</v>
      </c>
      <c r="D137" s="1" t="s">
        <v>415</v>
      </c>
      <c r="E137" s="3">
        <v>44418.0</v>
      </c>
      <c r="F137" s="1" t="s">
        <v>3</v>
      </c>
      <c r="G137" s="4">
        <v>2.19012211E8</v>
      </c>
      <c r="I137" s="2"/>
      <c r="J137" s="1" t="s">
        <v>416</v>
      </c>
      <c r="K137" s="1">
        <v>50.0</v>
      </c>
      <c r="L137" s="1"/>
      <c r="M137" s="5">
        <v>120.0</v>
      </c>
    </row>
    <row r="138" ht="15.75" hidden="1" customHeight="1">
      <c r="A138" s="1" t="s">
        <v>417</v>
      </c>
      <c r="B138" s="2">
        <v>77.0</v>
      </c>
      <c r="C138" s="1" t="s">
        <v>27</v>
      </c>
      <c r="D138" s="1" t="s">
        <v>418</v>
      </c>
      <c r="E138" s="3">
        <v>44418.0</v>
      </c>
      <c r="F138" s="1" t="s">
        <v>3</v>
      </c>
      <c r="G138" s="4">
        <v>2.19012211E8</v>
      </c>
      <c r="I138" s="2"/>
      <c r="J138" s="1" t="s">
        <v>9</v>
      </c>
      <c r="K138" s="1">
        <v>16.0</v>
      </c>
      <c r="L138" s="1"/>
      <c r="M138" s="5">
        <v>114.78</v>
      </c>
    </row>
    <row r="139" ht="15.75" hidden="1" customHeight="1">
      <c r="A139" s="1" t="s">
        <v>419</v>
      </c>
      <c r="B139" s="2">
        <v>80.0</v>
      </c>
      <c r="C139" s="1" t="s">
        <v>39</v>
      </c>
      <c r="D139" s="1" t="s">
        <v>420</v>
      </c>
      <c r="E139" s="3">
        <v>44418.0</v>
      </c>
      <c r="F139" s="1" t="s">
        <v>3</v>
      </c>
      <c r="G139" s="4">
        <v>2.19012211E8</v>
      </c>
      <c r="I139" s="2"/>
      <c r="J139" s="1" t="s">
        <v>9</v>
      </c>
      <c r="K139" s="1">
        <v>450.0</v>
      </c>
      <c r="L139" s="1"/>
      <c r="M139" s="5">
        <v>105.0</v>
      </c>
    </row>
    <row r="140" ht="15.75" hidden="1" customHeight="1">
      <c r="A140" s="1" t="s">
        <v>421</v>
      </c>
      <c r="B140" s="2">
        <v>306.0</v>
      </c>
      <c r="C140" s="1" t="s">
        <v>422</v>
      </c>
      <c r="D140" s="1" t="s">
        <v>423</v>
      </c>
      <c r="E140" s="3">
        <v>44637.0</v>
      </c>
      <c r="F140" s="1" t="s">
        <v>3</v>
      </c>
      <c r="G140" s="4">
        <v>2.19012221E8</v>
      </c>
      <c r="H140" s="1" t="s">
        <v>424</v>
      </c>
      <c r="I140" s="2"/>
      <c r="J140" s="1" t="s">
        <v>124</v>
      </c>
      <c r="K140" s="1">
        <v>1800.0</v>
      </c>
      <c r="L140" s="1"/>
      <c r="M140" s="5">
        <v>104.0</v>
      </c>
    </row>
    <row r="141" ht="15.75" hidden="1" customHeight="1">
      <c r="A141" s="1" t="s">
        <v>425</v>
      </c>
      <c r="B141" s="2">
        <v>45.0</v>
      </c>
      <c r="C141" s="1" t="s">
        <v>426</v>
      </c>
      <c r="D141" s="1" t="s">
        <v>427</v>
      </c>
      <c r="E141" s="3">
        <v>44417.0</v>
      </c>
      <c r="F141" s="1" t="s">
        <v>3</v>
      </c>
      <c r="G141" s="4">
        <v>2.19021211E8</v>
      </c>
      <c r="I141" s="2"/>
      <c r="J141" s="1" t="s">
        <v>416</v>
      </c>
      <c r="K141" s="1">
        <v>720.0</v>
      </c>
      <c r="L141" s="1"/>
      <c r="M141" s="5">
        <v>35.62</v>
      </c>
    </row>
    <row r="142" ht="15.75" hidden="1" customHeight="1">
      <c r="A142" s="1" t="s">
        <v>428</v>
      </c>
      <c r="B142" s="2">
        <v>287.0</v>
      </c>
      <c r="C142" s="1" t="s">
        <v>219</v>
      </c>
      <c r="D142" s="1" t="s">
        <v>429</v>
      </c>
      <c r="E142" s="3">
        <v>44615.0</v>
      </c>
      <c r="F142" s="1" t="s">
        <v>3</v>
      </c>
      <c r="G142" s="4">
        <v>2.19024221E8</v>
      </c>
      <c r="H142" s="1" t="s">
        <v>430</v>
      </c>
      <c r="I142" s="2"/>
      <c r="J142" s="1" t="s">
        <v>124</v>
      </c>
      <c r="K142" s="1">
        <v>50.0</v>
      </c>
      <c r="L142" s="1"/>
      <c r="M142" s="5">
        <v>100.0</v>
      </c>
    </row>
    <row r="143" ht="15.75" hidden="1" customHeight="1">
      <c r="A143" s="1" t="s">
        <v>431</v>
      </c>
      <c r="B143" s="2">
        <v>347.0</v>
      </c>
      <c r="C143" s="1" t="s">
        <v>432</v>
      </c>
      <c r="D143" s="1" t="s">
        <v>433</v>
      </c>
      <c r="E143" s="3">
        <v>44705.0</v>
      </c>
      <c r="F143" s="1" t="s">
        <v>3</v>
      </c>
      <c r="G143" s="4">
        <v>2.19025221E8</v>
      </c>
      <c r="H143" s="1" t="s">
        <v>434</v>
      </c>
      <c r="I143" s="2"/>
      <c r="J143" s="1" t="s">
        <v>124</v>
      </c>
      <c r="K143" s="1">
        <v>500.0</v>
      </c>
      <c r="L143" s="1"/>
      <c r="M143" s="5">
        <v>93.09</v>
      </c>
    </row>
    <row r="144" ht="15.75" hidden="1" customHeight="1">
      <c r="A144" s="1" t="s">
        <v>435</v>
      </c>
      <c r="B144" s="2">
        <v>634.0</v>
      </c>
      <c r="C144" s="1" t="s">
        <v>432</v>
      </c>
      <c r="D144" s="1" t="s">
        <v>436</v>
      </c>
      <c r="E144" s="1" t="s">
        <v>60</v>
      </c>
      <c r="F144" s="1" t="s">
        <v>3</v>
      </c>
      <c r="G144" s="4">
        <v>2.19025221E8</v>
      </c>
      <c r="H144" s="1" t="s">
        <v>434</v>
      </c>
      <c r="I144" s="2"/>
      <c r="J144" s="1" t="s">
        <v>124</v>
      </c>
      <c r="K144" s="1">
        <v>1.0</v>
      </c>
      <c r="L144" s="1"/>
      <c r="M144" s="5">
        <v>7143.43</v>
      </c>
    </row>
    <row r="145" ht="15.75" hidden="1" customHeight="1">
      <c r="A145" s="1" t="s">
        <v>437</v>
      </c>
      <c r="B145" s="2">
        <v>69.0</v>
      </c>
      <c r="C145" s="1" t="s">
        <v>438</v>
      </c>
      <c r="D145" s="1" t="s">
        <v>439</v>
      </c>
      <c r="E145" s="3">
        <v>44418.0</v>
      </c>
      <c r="F145" s="1" t="s">
        <v>3</v>
      </c>
      <c r="G145" s="4">
        <v>2.19029211E8</v>
      </c>
      <c r="I145" s="2"/>
      <c r="J145" s="1" t="s">
        <v>440</v>
      </c>
      <c r="K145" s="1">
        <v>21.0</v>
      </c>
      <c r="L145" s="1"/>
      <c r="M145" s="5">
        <v>156.77</v>
      </c>
    </row>
    <row r="146" ht="15.75" hidden="1" customHeight="1">
      <c r="A146" s="1" t="s">
        <v>441</v>
      </c>
      <c r="B146" s="2">
        <v>119.0</v>
      </c>
      <c r="C146" s="1" t="s">
        <v>27</v>
      </c>
      <c r="D146" s="1" t="s">
        <v>442</v>
      </c>
      <c r="E146" s="3">
        <v>44424.0</v>
      </c>
      <c r="F146" s="1" t="s">
        <v>3</v>
      </c>
      <c r="G146" s="4">
        <v>2.19029211E8</v>
      </c>
      <c r="H146" s="1" t="s">
        <v>443</v>
      </c>
      <c r="I146" s="2"/>
      <c r="J146" s="1" t="s">
        <v>440</v>
      </c>
      <c r="K146" s="1">
        <v>16.86</v>
      </c>
      <c r="L146" s="1"/>
      <c r="M146" s="5">
        <v>192.22</v>
      </c>
    </row>
    <row r="147" ht="15.75" hidden="1" customHeight="1">
      <c r="A147" s="1" t="s">
        <v>444</v>
      </c>
      <c r="B147" s="2">
        <v>87.0</v>
      </c>
      <c r="C147" s="1" t="s">
        <v>169</v>
      </c>
      <c r="D147" s="1" t="s">
        <v>445</v>
      </c>
      <c r="E147" s="3">
        <v>44418.0</v>
      </c>
      <c r="F147" s="1" t="s">
        <v>3</v>
      </c>
      <c r="G147" s="4">
        <v>2.19033211E8</v>
      </c>
      <c r="I147" s="2"/>
      <c r="J147" s="1" t="s">
        <v>124</v>
      </c>
      <c r="K147" s="1">
        <v>25.0</v>
      </c>
      <c r="L147" s="1"/>
      <c r="M147" s="5">
        <v>120.0</v>
      </c>
    </row>
    <row r="148" ht="15.75" hidden="1" customHeight="1">
      <c r="A148" s="1" t="s">
        <v>446</v>
      </c>
      <c r="B148" s="2">
        <v>90.0</v>
      </c>
      <c r="C148" s="1" t="s">
        <v>27</v>
      </c>
      <c r="D148" s="1" t="s">
        <v>447</v>
      </c>
      <c r="E148" s="3">
        <v>44418.0</v>
      </c>
      <c r="F148" s="1" t="s">
        <v>3</v>
      </c>
      <c r="G148" s="4">
        <v>2.19033211E8</v>
      </c>
      <c r="I148" s="2"/>
      <c r="J148" s="1" t="s">
        <v>124</v>
      </c>
      <c r="K148" s="1">
        <v>100.0</v>
      </c>
      <c r="L148" s="1"/>
      <c r="M148" s="5">
        <v>119.45</v>
      </c>
    </row>
    <row r="149" ht="15.75" hidden="1" customHeight="1">
      <c r="A149" s="1" t="s">
        <v>448</v>
      </c>
      <c r="B149" s="2">
        <v>96.0</v>
      </c>
      <c r="C149" s="1" t="s">
        <v>449</v>
      </c>
      <c r="D149" s="1" t="s">
        <v>450</v>
      </c>
      <c r="E149" s="3">
        <v>44418.0</v>
      </c>
      <c r="F149" s="1" t="s">
        <v>3</v>
      </c>
      <c r="G149" s="4">
        <v>2.19033211E8</v>
      </c>
      <c r="I149" s="2"/>
      <c r="J149" s="1" t="s">
        <v>9</v>
      </c>
      <c r="K149" s="1">
        <v>125.0</v>
      </c>
      <c r="L149" s="1"/>
      <c r="M149" s="5">
        <v>100.0</v>
      </c>
    </row>
    <row r="150" ht="15.75" hidden="1" customHeight="1">
      <c r="A150" s="1" t="s">
        <v>451</v>
      </c>
      <c r="B150" s="2">
        <v>98.0</v>
      </c>
      <c r="C150" s="1" t="s">
        <v>452</v>
      </c>
      <c r="D150" s="1" t="s">
        <v>453</v>
      </c>
      <c r="E150" s="3">
        <v>44418.0</v>
      </c>
      <c r="F150" s="1" t="s">
        <v>3</v>
      </c>
      <c r="G150" s="4">
        <v>2.19033211E8</v>
      </c>
      <c r="I150" s="2"/>
      <c r="J150" s="1" t="s">
        <v>124</v>
      </c>
      <c r="K150" s="1">
        <v>1.0</v>
      </c>
      <c r="L150" s="1"/>
      <c r="M150" s="5">
        <v>195.1</v>
      </c>
    </row>
    <row r="151" ht="15.75" hidden="1" customHeight="1">
      <c r="A151" s="1" t="s">
        <v>454</v>
      </c>
      <c r="B151" s="2">
        <v>99.0</v>
      </c>
      <c r="C151" s="1" t="s">
        <v>43</v>
      </c>
      <c r="D151" s="1" t="s">
        <v>455</v>
      </c>
      <c r="E151" s="3">
        <v>44418.0</v>
      </c>
      <c r="F151" s="1" t="s">
        <v>3</v>
      </c>
      <c r="G151" s="4">
        <v>2.19033211E8</v>
      </c>
      <c r="I151" s="2"/>
      <c r="J151" s="1" t="s">
        <v>9</v>
      </c>
      <c r="K151" s="1">
        <v>5.0</v>
      </c>
      <c r="L151" s="1"/>
      <c r="M151" s="5">
        <v>125.87</v>
      </c>
    </row>
    <row r="152" ht="15.75" hidden="1" customHeight="1">
      <c r="A152" s="1" t="s">
        <v>456</v>
      </c>
      <c r="B152" s="2">
        <v>101.0</v>
      </c>
      <c r="C152" s="1" t="s">
        <v>457</v>
      </c>
      <c r="D152" s="1" t="s">
        <v>458</v>
      </c>
      <c r="E152" s="3">
        <v>44419.0</v>
      </c>
      <c r="F152" s="1" t="s">
        <v>3</v>
      </c>
      <c r="G152" s="4">
        <v>2.19033211E8</v>
      </c>
      <c r="H152" s="1" t="s">
        <v>459</v>
      </c>
      <c r="I152" s="2"/>
      <c r="J152" s="1" t="s">
        <v>124</v>
      </c>
      <c r="K152" s="1">
        <v>100.0</v>
      </c>
      <c r="L152" s="1"/>
      <c r="M152" s="5">
        <v>121.68</v>
      </c>
    </row>
    <row r="153" ht="15.75" hidden="1" customHeight="1">
      <c r="A153" s="1" t="s">
        <v>460</v>
      </c>
      <c r="B153" s="2">
        <v>107.0</v>
      </c>
      <c r="C153" s="1" t="s">
        <v>461</v>
      </c>
      <c r="D153" s="1" t="s">
        <v>462</v>
      </c>
      <c r="E153" s="3">
        <v>44419.0</v>
      </c>
      <c r="F153" s="1" t="s">
        <v>3</v>
      </c>
      <c r="G153" s="4">
        <v>2.19033211E8</v>
      </c>
      <c r="H153" s="1" t="s">
        <v>459</v>
      </c>
      <c r="I153" s="2"/>
      <c r="J153" s="1" t="s">
        <v>124</v>
      </c>
      <c r="K153" s="1">
        <v>25.0</v>
      </c>
      <c r="L153" s="1"/>
      <c r="M153" s="5">
        <v>121.68</v>
      </c>
    </row>
    <row r="154" ht="15.75" hidden="1" customHeight="1">
      <c r="A154" s="1" t="s">
        <v>463</v>
      </c>
      <c r="B154" s="2">
        <v>122.0</v>
      </c>
      <c r="C154" s="1" t="s">
        <v>464</v>
      </c>
      <c r="D154" s="1" t="s">
        <v>465</v>
      </c>
      <c r="E154" s="3">
        <v>44424.0</v>
      </c>
      <c r="F154" s="1" t="s">
        <v>3</v>
      </c>
      <c r="G154" s="4">
        <v>2.19033211E8</v>
      </c>
      <c r="H154" s="1" t="s">
        <v>459</v>
      </c>
      <c r="I154" s="2"/>
      <c r="J154" s="1" t="s">
        <v>124</v>
      </c>
      <c r="K154" s="1">
        <v>15.0</v>
      </c>
      <c r="L154" s="1"/>
      <c r="M154" s="5">
        <v>129.8</v>
      </c>
    </row>
    <row r="155" ht="15.75" hidden="1" customHeight="1">
      <c r="A155" s="1" t="s">
        <v>361</v>
      </c>
      <c r="B155" s="2">
        <v>123.0</v>
      </c>
      <c r="C155" s="1" t="s">
        <v>362</v>
      </c>
      <c r="D155" s="1" t="s">
        <v>363</v>
      </c>
      <c r="E155" s="3">
        <v>44424.0</v>
      </c>
      <c r="F155" s="1" t="s">
        <v>3</v>
      </c>
      <c r="G155" s="4">
        <v>2.19033211E8</v>
      </c>
      <c r="H155" s="1" t="s">
        <v>459</v>
      </c>
      <c r="I155" s="2"/>
      <c r="J155" s="1" t="s">
        <v>9</v>
      </c>
      <c r="K155" s="1">
        <v>40.0</v>
      </c>
      <c r="L155" s="1"/>
      <c r="M155" s="5">
        <v>103.52</v>
      </c>
    </row>
    <row r="156" ht="15.75" hidden="1" customHeight="1">
      <c r="A156" s="1" t="s">
        <v>466</v>
      </c>
      <c r="B156" s="2">
        <v>126.0</v>
      </c>
      <c r="C156" s="1" t="s">
        <v>449</v>
      </c>
      <c r="D156" s="1" t="s">
        <v>467</v>
      </c>
      <c r="E156" s="3">
        <v>44424.0</v>
      </c>
      <c r="F156" s="1" t="s">
        <v>3</v>
      </c>
      <c r="G156" s="4">
        <v>2.19033211E8</v>
      </c>
      <c r="H156" s="1" t="s">
        <v>459</v>
      </c>
      <c r="I156" s="2"/>
      <c r="J156" s="1" t="s">
        <v>9</v>
      </c>
      <c r="K156" s="1">
        <v>125.0</v>
      </c>
      <c r="L156" s="1"/>
      <c r="M156" s="5">
        <v>100.0</v>
      </c>
    </row>
    <row r="157" ht="15.75" hidden="1" customHeight="1">
      <c r="A157" s="1" t="s">
        <v>468</v>
      </c>
      <c r="B157" s="2">
        <v>133.0</v>
      </c>
      <c r="C157" s="1" t="s">
        <v>469</v>
      </c>
      <c r="D157" s="1" t="s">
        <v>470</v>
      </c>
      <c r="E157" s="3">
        <v>44426.0</v>
      </c>
      <c r="F157" s="1" t="s">
        <v>3</v>
      </c>
      <c r="G157" s="4">
        <v>2.19033211E8</v>
      </c>
      <c r="H157" s="1" t="s">
        <v>459</v>
      </c>
      <c r="I157" s="2"/>
      <c r="J157" s="1" t="s">
        <v>124</v>
      </c>
      <c r="K157" s="1">
        <v>5.0</v>
      </c>
      <c r="L157" s="1"/>
      <c r="M157" s="5">
        <v>183.38</v>
      </c>
    </row>
    <row r="158" ht="15.75" hidden="1" customHeight="1">
      <c r="A158" s="1" t="s">
        <v>471</v>
      </c>
      <c r="B158" s="2">
        <v>134.0</v>
      </c>
      <c r="C158" s="1" t="s">
        <v>472</v>
      </c>
      <c r="D158" s="1" t="s">
        <v>473</v>
      </c>
      <c r="E158" s="3">
        <v>44426.0</v>
      </c>
      <c r="F158" s="1" t="s">
        <v>3</v>
      </c>
      <c r="G158" s="4">
        <v>2.19033211E8</v>
      </c>
      <c r="H158" s="1" t="s">
        <v>459</v>
      </c>
      <c r="I158" s="2"/>
      <c r="J158" s="1" t="s">
        <v>9</v>
      </c>
      <c r="K158" s="1">
        <v>150.0</v>
      </c>
      <c r="L158" s="1"/>
      <c r="M158" s="5">
        <v>103.0</v>
      </c>
    </row>
    <row r="159" ht="15.75" hidden="1" customHeight="1">
      <c r="A159" s="1" t="s">
        <v>474</v>
      </c>
      <c r="B159" s="2">
        <v>139.0</v>
      </c>
      <c r="C159" s="1" t="s">
        <v>475</v>
      </c>
      <c r="D159" s="1" t="s">
        <v>476</v>
      </c>
      <c r="E159" s="3">
        <v>44435.0</v>
      </c>
      <c r="F159" s="1" t="s">
        <v>3</v>
      </c>
      <c r="G159" s="4">
        <v>2.19033211E8</v>
      </c>
      <c r="H159" s="1" t="s">
        <v>459</v>
      </c>
      <c r="I159" s="2"/>
      <c r="J159" s="1" t="s">
        <v>124</v>
      </c>
      <c r="K159" s="1">
        <v>25.0</v>
      </c>
      <c r="L159" s="1"/>
      <c r="M159" s="5">
        <v>155.0</v>
      </c>
    </row>
    <row r="160" ht="15.75" hidden="1" customHeight="1">
      <c r="A160" s="1" t="s">
        <v>477</v>
      </c>
      <c r="B160" s="2">
        <v>140.0</v>
      </c>
      <c r="C160" s="1" t="s">
        <v>475</v>
      </c>
      <c r="D160" s="1" t="s">
        <v>478</v>
      </c>
      <c r="E160" s="3">
        <v>44438.0</v>
      </c>
      <c r="F160" s="1" t="s">
        <v>3</v>
      </c>
      <c r="G160" s="4">
        <v>2.19033211E8</v>
      </c>
      <c r="H160" s="1" t="s">
        <v>459</v>
      </c>
      <c r="I160" s="2"/>
      <c r="J160" s="1" t="s">
        <v>416</v>
      </c>
      <c r="K160" s="1">
        <v>25.0</v>
      </c>
      <c r="L160" s="1"/>
      <c r="M160" s="5">
        <v>155.0</v>
      </c>
    </row>
    <row r="161" ht="15.75" hidden="1" customHeight="1">
      <c r="A161" s="1" t="s">
        <v>479</v>
      </c>
      <c r="B161" s="2">
        <v>192.0</v>
      </c>
      <c r="C161" s="1" t="s">
        <v>129</v>
      </c>
      <c r="D161" s="1" t="s">
        <v>480</v>
      </c>
      <c r="E161" s="3">
        <v>44476.0</v>
      </c>
      <c r="F161" s="1" t="s">
        <v>3</v>
      </c>
      <c r="G161" s="4">
        <v>2.19033211E8</v>
      </c>
      <c r="H161" s="1" t="s">
        <v>459</v>
      </c>
      <c r="I161" s="2"/>
      <c r="J161" s="1" t="s">
        <v>9</v>
      </c>
      <c r="K161" s="1">
        <v>25.0</v>
      </c>
      <c r="L161" s="1"/>
      <c r="M161" s="5">
        <v>123.85</v>
      </c>
    </row>
    <row r="162" ht="15.75" hidden="1" customHeight="1">
      <c r="A162" s="1" t="s">
        <v>481</v>
      </c>
      <c r="B162" s="2">
        <v>193.0</v>
      </c>
      <c r="C162" s="1" t="s">
        <v>482</v>
      </c>
      <c r="D162" s="1" t="s">
        <v>483</v>
      </c>
      <c r="E162" s="3">
        <v>44476.0</v>
      </c>
      <c r="F162" s="1" t="s">
        <v>3</v>
      </c>
      <c r="G162" s="4">
        <v>2.19033211E8</v>
      </c>
      <c r="H162" s="1" t="s">
        <v>459</v>
      </c>
      <c r="I162" s="2"/>
      <c r="J162" s="1" t="s">
        <v>9</v>
      </c>
      <c r="K162" s="1">
        <v>1.0</v>
      </c>
      <c r="L162" s="1"/>
      <c r="M162" s="5">
        <v>176.32</v>
      </c>
    </row>
    <row r="163" ht="15.75" hidden="1" customHeight="1">
      <c r="A163" s="1" t="s">
        <v>484</v>
      </c>
      <c r="B163" s="2">
        <v>194.0</v>
      </c>
      <c r="C163" s="1" t="s">
        <v>485</v>
      </c>
      <c r="D163" s="1" t="s">
        <v>486</v>
      </c>
      <c r="E163" s="3">
        <v>44476.0</v>
      </c>
      <c r="F163" s="1" t="s">
        <v>3</v>
      </c>
      <c r="G163" s="4">
        <v>2.19033211E8</v>
      </c>
      <c r="H163" s="1" t="s">
        <v>459</v>
      </c>
      <c r="I163" s="2"/>
      <c r="J163" s="1" t="s">
        <v>9</v>
      </c>
      <c r="K163" s="1">
        <v>1.0</v>
      </c>
      <c r="L163" s="1"/>
      <c r="M163" s="5">
        <v>187.13</v>
      </c>
    </row>
    <row r="164" ht="15.75" hidden="1" customHeight="1">
      <c r="A164" s="1" t="s">
        <v>487</v>
      </c>
      <c r="B164" s="2">
        <v>198.0</v>
      </c>
      <c r="C164" s="1" t="s">
        <v>488</v>
      </c>
      <c r="D164" s="1" t="s">
        <v>489</v>
      </c>
      <c r="E164" s="3">
        <v>44476.0</v>
      </c>
      <c r="F164" s="1" t="s">
        <v>3</v>
      </c>
      <c r="G164" s="4">
        <v>2.19033211E8</v>
      </c>
      <c r="H164" s="1" t="s">
        <v>459</v>
      </c>
      <c r="I164" s="2"/>
      <c r="J164" s="1" t="s">
        <v>9</v>
      </c>
      <c r="K164" s="1">
        <v>4.0</v>
      </c>
      <c r="L164" s="1"/>
      <c r="M164" s="5">
        <v>105.0</v>
      </c>
    </row>
    <row r="165" ht="15.75" hidden="1" customHeight="1">
      <c r="A165" s="1" t="s">
        <v>490</v>
      </c>
      <c r="B165" s="2">
        <v>297.0</v>
      </c>
      <c r="C165" s="1" t="s">
        <v>491</v>
      </c>
      <c r="D165" s="1" t="s">
        <v>492</v>
      </c>
      <c r="E165" s="3">
        <v>44628.0</v>
      </c>
      <c r="F165" s="1" t="s">
        <v>86</v>
      </c>
      <c r="G165" s="4">
        <v>2.19034221E8</v>
      </c>
      <c r="H165" s="1" t="s">
        <v>493</v>
      </c>
      <c r="I165" s="2"/>
      <c r="J165" s="1" t="s">
        <v>124</v>
      </c>
      <c r="K165" s="1">
        <v>10.0</v>
      </c>
      <c r="L165" s="1"/>
      <c r="M165" s="5">
        <v>85.16</v>
      </c>
    </row>
    <row r="166" ht="15.75" hidden="1" customHeight="1">
      <c r="A166" s="1" t="s">
        <v>301</v>
      </c>
      <c r="B166" s="2">
        <v>95.0</v>
      </c>
      <c r="C166" s="1" t="s">
        <v>80</v>
      </c>
      <c r="D166" s="1" t="s">
        <v>302</v>
      </c>
      <c r="E166" s="3">
        <v>44418.0</v>
      </c>
      <c r="F166" s="1" t="s">
        <v>3</v>
      </c>
      <c r="G166" s="4">
        <v>2.19045211E8</v>
      </c>
      <c r="I166" s="2"/>
      <c r="J166" s="1" t="s">
        <v>416</v>
      </c>
      <c r="K166" s="1">
        <v>100.0</v>
      </c>
      <c r="L166" s="1"/>
      <c r="M166" s="5">
        <v>125.0</v>
      </c>
    </row>
    <row r="167" ht="15.75" hidden="1" customHeight="1">
      <c r="A167" s="1" t="s">
        <v>301</v>
      </c>
      <c r="B167" s="2">
        <v>95.0</v>
      </c>
      <c r="C167" s="1" t="s">
        <v>80</v>
      </c>
      <c r="D167" s="1" t="s">
        <v>302</v>
      </c>
      <c r="E167" s="3">
        <v>44418.0</v>
      </c>
      <c r="F167" s="1" t="s">
        <v>3</v>
      </c>
      <c r="G167" s="4">
        <v>2.19045211E8</v>
      </c>
      <c r="I167" s="2"/>
      <c r="J167" s="1" t="s">
        <v>9</v>
      </c>
      <c r="K167" s="1">
        <v>100.0</v>
      </c>
      <c r="L167" s="1"/>
      <c r="M167" s="5">
        <v>102.0</v>
      </c>
    </row>
    <row r="168" ht="15.75" hidden="1" customHeight="1">
      <c r="A168" s="1" t="s">
        <v>494</v>
      </c>
      <c r="B168" s="2">
        <v>104.0</v>
      </c>
      <c r="C168" s="1" t="s">
        <v>31</v>
      </c>
      <c r="D168" s="1" t="s">
        <v>495</v>
      </c>
      <c r="E168" s="3">
        <v>44419.0</v>
      </c>
      <c r="F168" s="1" t="s">
        <v>3</v>
      </c>
      <c r="G168" s="4">
        <v>2.19045211E8</v>
      </c>
      <c r="H168" s="1" t="s">
        <v>496</v>
      </c>
      <c r="I168" s="2"/>
      <c r="J168" s="1" t="s">
        <v>9</v>
      </c>
      <c r="K168" s="1">
        <v>120.0</v>
      </c>
      <c r="L168" s="1"/>
      <c r="M168" s="5">
        <v>79.25</v>
      </c>
    </row>
    <row r="169" ht="15.75" hidden="1" customHeight="1">
      <c r="A169" s="1" t="s">
        <v>497</v>
      </c>
      <c r="B169" s="2">
        <v>118.0</v>
      </c>
      <c r="C169" s="1" t="s">
        <v>27</v>
      </c>
      <c r="D169" s="1" t="s">
        <v>498</v>
      </c>
      <c r="E169" s="3">
        <v>44424.0</v>
      </c>
      <c r="F169" s="1" t="s">
        <v>86</v>
      </c>
      <c r="G169" s="4">
        <v>2.19045211E8</v>
      </c>
      <c r="H169" s="1" t="s">
        <v>496</v>
      </c>
      <c r="I169" s="2"/>
      <c r="J169" s="1" t="s">
        <v>9</v>
      </c>
      <c r="K169" s="1">
        <v>300.0</v>
      </c>
      <c r="L169" s="1"/>
      <c r="M169" s="5">
        <v>92.74</v>
      </c>
    </row>
    <row r="170" ht="15.75" hidden="1" customHeight="1">
      <c r="A170" s="1" t="s">
        <v>499</v>
      </c>
      <c r="B170" s="2">
        <v>132.0</v>
      </c>
      <c r="C170" s="1" t="s">
        <v>500</v>
      </c>
      <c r="D170" s="1" t="s">
        <v>501</v>
      </c>
      <c r="E170" s="3">
        <v>44426.0</v>
      </c>
      <c r="F170" s="1" t="s">
        <v>3</v>
      </c>
      <c r="G170" s="4">
        <v>2.19045211E8</v>
      </c>
      <c r="H170" s="1" t="s">
        <v>496</v>
      </c>
      <c r="I170" s="2"/>
      <c r="J170" s="1" t="s">
        <v>416</v>
      </c>
      <c r="K170" s="1">
        <v>50.0</v>
      </c>
      <c r="L170" s="1"/>
      <c r="M170" s="5">
        <v>162.2</v>
      </c>
    </row>
    <row r="171" ht="15.75" hidden="1" customHeight="1">
      <c r="A171" s="1" t="s">
        <v>502</v>
      </c>
      <c r="B171" s="2">
        <v>138.0</v>
      </c>
      <c r="C171" s="1" t="s">
        <v>503</v>
      </c>
      <c r="D171" s="1" t="s">
        <v>504</v>
      </c>
      <c r="E171" s="3">
        <v>44432.0</v>
      </c>
      <c r="F171" s="1" t="s">
        <v>3</v>
      </c>
      <c r="G171" s="4">
        <v>2.19045211E8</v>
      </c>
      <c r="H171" s="1" t="s">
        <v>496</v>
      </c>
      <c r="I171" s="2"/>
      <c r="J171" s="1" t="s">
        <v>124</v>
      </c>
      <c r="K171" s="1">
        <v>558.0</v>
      </c>
      <c r="L171" s="1"/>
      <c r="M171" s="5">
        <v>165.0</v>
      </c>
    </row>
    <row r="172" ht="15.75" hidden="1" customHeight="1">
      <c r="A172" s="1" t="s">
        <v>505</v>
      </c>
      <c r="B172" s="2">
        <v>174.0</v>
      </c>
      <c r="C172" s="1" t="s">
        <v>286</v>
      </c>
      <c r="D172" s="1" t="s">
        <v>506</v>
      </c>
      <c r="E172" s="3">
        <v>44467.0</v>
      </c>
      <c r="F172" s="1" t="s">
        <v>3</v>
      </c>
      <c r="G172" s="4">
        <v>2.19045211E8</v>
      </c>
      <c r="H172" s="1" t="s">
        <v>496</v>
      </c>
      <c r="I172" s="2"/>
      <c r="J172" s="1" t="s">
        <v>416</v>
      </c>
      <c r="K172" s="1">
        <v>50.0</v>
      </c>
      <c r="L172" s="1"/>
      <c r="M172" s="5">
        <v>120.0</v>
      </c>
    </row>
    <row r="173" ht="15.75" hidden="1" customHeight="1">
      <c r="A173" s="1" t="s">
        <v>507</v>
      </c>
      <c r="B173" s="2">
        <v>197.0</v>
      </c>
      <c r="C173" s="1" t="s">
        <v>508</v>
      </c>
      <c r="D173" s="1" t="s">
        <v>509</v>
      </c>
      <c r="E173" s="3">
        <v>44476.0</v>
      </c>
      <c r="F173" s="1" t="s">
        <v>3</v>
      </c>
      <c r="G173" s="4">
        <v>2.19045211E8</v>
      </c>
      <c r="H173" s="1" t="s">
        <v>496</v>
      </c>
      <c r="I173" s="2"/>
      <c r="J173" s="1" t="s">
        <v>416</v>
      </c>
      <c r="K173" s="1">
        <v>40.0</v>
      </c>
      <c r="L173" s="1"/>
      <c r="M173" s="5">
        <v>145.0</v>
      </c>
    </row>
    <row r="174" ht="15.75" hidden="1" customHeight="1">
      <c r="A174" s="1" t="s">
        <v>510</v>
      </c>
      <c r="B174" s="2">
        <v>207.0</v>
      </c>
      <c r="C174" s="1" t="s">
        <v>500</v>
      </c>
      <c r="D174" s="1" t="s">
        <v>511</v>
      </c>
      <c r="E174" s="3">
        <v>44494.0</v>
      </c>
      <c r="F174" s="1" t="s">
        <v>3</v>
      </c>
      <c r="G174" s="4">
        <v>2.19045211E8</v>
      </c>
      <c r="H174" s="1" t="s">
        <v>496</v>
      </c>
      <c r="I174" s="2"/>
      <c r="J174" s="1" t="s">
        <v>416</v>
      </c>
      <c r="K174" s="1">
        <v>15.0</v>
      </c>
      <c r="L174" s="1"/>
      <c r="M174" s="5">
        <v>159.19</v>
      </c>
    </row>
    <row r="175" ht="15.75" hidden="1" customHeight="1">
      <c r="A175" s="1" t="s">
        <v>512</v>
      </c>
      <c r="B175" s="2">
        <v>304.0</v>
      </c>
      <c r="C175" s="1" t="s">
        <v>513</v>
      </c>
      <c r="D175" s="1" t="s">
        <v>514</v>
      </c>
      <c r="E175" s="3">
        <v>44636.0</v>
      </c>
      <c r="F175" s="1" t="s">
        <v>3</v>
      </c>
      <c r="G175" s="4">
        <v>2.19045211E8</v>
      </c>
      <c r="H175" s="1" t="s">
        <v>496</v>
      </c>
      <c r="I175" s="2"/>
      <c r="J175" s="1" t="s">
        <v>124</v>
      </c>
      <c r="K175" s="1">
        <v>20.0</v>
      </c>
      <c r="L175" s="1"/>
      <c r="M175" s="5">
        <v>158.42</v>
      </c>
    </row>
    <row r="176" ht="15.75" hidden="1" customHeight="1">
      <c r="A176" s="1" t="s">
        <v>515</v>
      </c>
      <c r="B176" s="2">
        <v>315.0</v>
      </c>
      <c r="C176" s="1" t="s">
        <v>286</v>
      </c>
      <c r="D176" s="1" t="s">
        <v>516</v>
      </c>
      <c r="E176" s="3">
        <v>44656.0</v>
      </c>
      <c r="F176" s="1" t="s">
        <v>3</v>
      </c>
      <c r="G176" s="4">
        <v>2.19045211E8</v>
      </c>
      <c r="H176" s="1" t="s">
        <v>496</v>
      </c>
      <c r="I176" s="2"/>
      <c r="J176" s="1" t="s">
        <v>124</v>
      </c>
      <c r="K176" s="1">
        <v>100.0</v>
      </c>
      <c r="L176" s="1"/>
      <c r="M176" s="5">
        <v>105.0</v>
      </c>
    </row>
    <row r="177" ht="15.75" hidden="1" customHeight="1">
      <c r="A177" s="1" t="s">
        <v>517</v>
      </c>
      <c r="B177" s="2">
        <v>313.0</v>
      </c>
      <c r="C177" s="1" t="s">
        <v>518</v>
      </c>
      <c r="D177" s="1" t="s">
        <v>519</v>
      </c>
      <c r="E177" s="3">
        <v>44649.0</v>
      </c>
      <c r="F177" s="1" t="s">
        <v>3</v>
      </c>
      <c r="G177" s="4">
        <v>2.19049221E8</v>
      </c>
      <c r="H177" s="1" t="s">
        <v>520</v>
      </c>
      <c r="I177" s="2"/>
      <c r="J177" s="1" t="s">
        <v>124</v>
      </c>
      <c r="K177" s="1">
        <v>5.0</v>
      </c>
      <c r="L177" s="1"/>
      <c r="M177" s="5">
        <v>135.34</v>
      </c>
    </row>
    <row r="178" ht="15.75" hidden="1" customHeight="1">
      <c r="A178" s="1" t="s">
        <v>521</v>
      </c>
      <c r="B178" s="2">
        <v>323.0</v>
      </c>
      <c r="C178" s="1" t="s">
        <v>27</v>
      </c>
      <c r="D178" s="1" t="s">
        <v>522</v>
      </c>
      <c r="E178" s="3">
        <v>44669.0</v>
      </c>
      <c r="F178" s="1" t="s">
        <v>3</v>
      </c>
      <c r="G178" s="4">
        <v>2.19050221E8</v>
      </c>
      <c r="H178" s="1" t="s">
        <v>523</v>
      </c>
      <c r="I178" s="2"/>
      <c r="J178" s="1" t="s">
        <v>16</v>
      </c>
      <c r="K178" s="1">
        <v>50.0</v>
      </c>
      <c r="L178" s="1"/>
      <c r="M178" s="5">
        <v>120.22</v>
      </c>
    </row>
    <row r="179" ht="15.75" hidden="1" customHeight="1">
      <c r="A179" s="1" t="s">
        <v>524</v>
      </c>
      <c r="B179" s="2">
        <v>336.0</v>
      </c>
      <c r="C179" s="1" t="s">
        <v>219</v>
      </c>
      <c r="D179" s="1" t="s">
        <v>525</v>
      </c>
      <c r="E179" s="3">
        <v>44686.0</v>
      </c>
      <c r="F179" s="1" t="s">
        <v>3</v>
      </c>
      <c r="G179" s="4">
        <v>2.19052221E8</v>
      </c>
      <c r="H179" s="1" t="s">
        <v>526</v>
      </c>
      <c r="I179" s="2"/>
      <c r="J179" s="1" t="s">
        <v>124</v>
      </c>
      <c r="K179" s="1">
        <v>100.0</v>
      </c>
      <c r="L179" s="1"/>
      <c r="M179" s="5">
        <v>100.0</v>
      </c>
    </row>
    <row r="180" ht="15.75" hidden="1" customHeight="1">
      <c r="A180" s="1" t="s">
        <v>527</v>
      </c>
      <c r="B180" s="2">
        <v>342.0</v>
      </c>
      <c r="C180" s="1" t="s">
        <v>412</v>
      </c>
      <c r="D180" s="1" t="s">
        <v>528</v>
      </c>
      <c r="E180" s="3">
        <v>44690.0</v>
      </c>
      <c r="F180" s="1" t="s">
        <v>3</v>
      </c>
      <c r="G180" s="4">
        <v>2.19052221E8</v>
      </c>
      <c r="H180" s="1" t="s">
        <v>526</v>
      </c>
      <c r="I180" s="2"/>
      <c r="J180" s="1" t="s">
        <v>124</v>
      </c>
      <c r="K180" s="1">
        <v>20.0</v>
      </c>
      <c r="L180" s="1"/>
      <c r="M180" s="5">
        <v>159.24</v>
      </c>
    </row>
    <row r="181" ht="15.75" hidden="1" customHeight="1">
      <c r="A181" s="1" t="s">
        <v>529</v>
      </c>
      <c r="B181" s="2">
        <v>91.0</v>
      </c>
      <c r="C181" s="1" t="s">
        <v>27</v>
      </c>
      <c r="D181" s="1" t="s">
        <v>530</v>
      </c>
      <c r="E181" s="3">
        <v>44418.0</v>
      </c>
      <c r="F181" s="1" t="s">
        <v>3</v>
      </c>
      <c r="G181" s="4">
        <v>2.19053211E8</v>
      </c>
      <c r="I181" s="2"/>
      <c r="J181" s="1" t="s">
        <v>531</v>
      </c>
      <c r="K181" s="1">
        <v>13.0</v>
      </c>
      <c r="L181" s="1"/>
      <c r="M181" s="5">
        <v>243.0</v>
      </c>
    </row>
    <row r="182" ht="15.75" hidden="1" customHeight="1">
      <c r="A182" s="1" t="s">
        <v>441</v>
      </c>
      <c r="B182" s="2">
        <v>119.0</v>
      </c>
      <c r="C182" s="1" t="s">
        <v>27</v>
      </c>
      <c r="D182" s="1" t="s">
        <v>442</v>
      </c>
      <c r="E182" s="3">
        <v>44424.0</v>
      </c>
      <c r="F182" s="1" t="s">
        <v>3</v>
      </c>
      <c r="G182" s="4">
        <v>2.19053211E8</v>
      </c>
      <c r="H182" s="1" t="s">
        <v>532</v>
      </c>
      <c r="I182" s="2"/>
      <c r="J182" s="1" t="s">
        <v>440</v>
      </c>
      <c r="K182" s="1">
        <v>8.14</v>
      </c>
      <c r="L182" s="1"/>
      <c r="M182" s="5">
        <v>192.22</v>
      </c>
    </row>
    <row r="183" ht="15.75" hidden="1" customHeight="1">
      <c r="A183" s="1" t="s">
        <v>533</v>
      </c>
      <c r="B183" s="2">
        <v>120.0</v>
      </c>
      <c r="C183" s="1" t="s">
        <v>27</v>
      </c>
      <c r="D183" s="1" t="s">
        <v>534</v>
      </c>
      <c r="E183" s="3">
        <v>44424.0</v>
      </c>
      <c r="F183" s="1" t="s">
        <v>3</v>
      </c>
      <c r="G183" s="4">
        <v>2.19053211E8</v>
      </c>
      <c r="H183" s="1" t="s">
        <v>532</v>
      </c>
      <c r="I183" s="2"/>
      <c r="J183" s="1" t="s">
        <v>531</v>
      </c>
      <c r="K183" s="1">
        <v>5.0</v>
      </c>
      <c r="L183" s="1"/>
      <c r="M183" s="5">
        <v>252.82</v>
      </c>
    </row>
    <row r="184" ht="15.75" hidden="1" customHeight="1">
      <c r="A184" s="1" t="s">
        <v>502</v>
      </c>
      <c r="B184" s="2">
        <v>138.0</v>
      </c>
      <c r="C184" s="1" t="s">
        <v>503</v>
      </c>
      <c r="D184" s="1" t="s">
        <v>504</v>
      </c>
      <c r="E184" s="3">
        <v>44432.0</v>
      </c>
      <c r="F184" s="1" t="s">
        <v>3</v>
      </c>
      <c r="G184" s="4">
        <v>2.19053211E8</v>
      </c>
      <c r="H184" s="1" t="s">
        <v>532</v>
      </c>
      <c r="I184" s="2"/>
      <c r="J184" s="1" t="s">
        <v>124</v>
      </c>
      <c r="K184" s="1">
        <v>646.0</v>
      </c>
      <c r="L184" s="1"/>
      <c r="M184" s="5">
        <v>165.0</v>
      </c>
    </row>
    <row r="185" ht="15.75" hidden="1" customHeight="1">
      <c r="A185" s="1" t="s">
        <v>361</v>
      </c>
      <c r="B185" s="2">
        <v>123.0</v>
      </c>
      <c r="C185" s="1" t="s">
        <v>362</v>
      </c>
      <c r="D185" s="1" t="s">
        <v>363</v>
      </c>
      <c r="E185" s="3">
        <v>44424.0</v>
      </c>
      <c r="F185" s="1" t="s">
        <v>3</v>
      </c>
      <c r="G185" s="4">
        <v>2.19054211E8</v>
      </c>
      <c r="H185" s="1" t="s">
        <v>535</v>
      </c>
      <c r="I185" s="2"/>
      <c r="J185" s="1" t="s">
        <v>124</v>
      </c>
      <c r="K185" s="1">
        <v>50.0</v>
      </c>
      <c r="L185" s="1"/>
      <c r="M185" s="5">
        <v>135.0</v>
      </c>
    </row>
    <row r="186" ht="15.75" hidden="1" customHeight="1">
      <c r="A186" s="1" t="s">
        <v>536</v>
      </c>
      <c r="B186" s="2">
        <v>142.0</v>
      </c>
      <c r="C186" s="1" t="s">
        <v>27</v>
      </c>
      <c r="D186" s="1" t="s">
        <v>537</v>
      </c>
      <c r="E186" s="3">
        <v>44438.0</v>
      </c>
      <c r="F186" s="1" t="s">
        <v>3</v>
      </c>
      <c r="G186" s="4">
        <v>2.19054211E8</v>
      </c>
      <c r="H186" s="1" t="s">
        <v>535</v>
      </c>
      <c r="I186" s="2"/>
      <c r="J186" s="1" t="s">
        <v>124</v>
      </c>
      <c r="K186" s="1">
        <v>20.0</v>
      </c>
      <c r="L186" s="1"/>
      <c r="M186" s="5">
        <v>113.95</v>
      </c>
    </row>
    <row r="187" ht="15.75" hidden="1" customHeight="1">
      <c r="A187" s="1" t="s">
        <v>538</v>
      </c>
      <c r="B187" s="2">
        <v>153.0</v>
      </c>
      <c r="C187" s="1" t="s">
        <v>449</v>
      </c>
      <c r="D187" s="1" t="s">
        <v>539</v>
      </c>
      <c r="E187" s="3">
        <v>44438.0</v>
      </c>
      <c r="F187" s="1" t="s">
        <v>3</v>
      </c>
      <c r="G187" s="4">
        <v>2.19054211E8</v>
      </c>
      <c r="H187" s="1" t="s">
        <v>535</v>
      </c>
      <c r="I187" s="2"/>
      <c r="J187" s="1" t="s">
        <v>9</v>
      </c>
      <c r="K187" s="1">
        <v>125.0</v>
      </c>
      <c r="L187" s="1"/>
      <c r="M187" s="5">
        <v>100.0</v>
      </c>
    </row>
    <row r="188" ht="15.75" hidden="1" customHeight="1">
      <c r="A188" s="1" t="s">
        <v>540</v>
      </c>
      <c r="B188" s="2">
        <v>154.0</v>
      </c>
      <c r="C188" s="1" t="s">
        <v>169</v>
      </c>
      <c r="D188" s="1" t="s">
        <v>541</v>
      </c>
      <c r="E188" s="3">
        <v>44438.0</v>
      </c>
      <c r="F188" s="1" t="s">
        <v>3</v>
      </c>
      <c r="G188" s="4">
        <v>2.19054211E8</v>
      </c>
      <c r="H188" s="1" t="s">
        <v>535</v>
      </c>
      <c r="I188" s="2"/>
      <c r="J188" s="1" t="s">
        <v>124</v>
      </c>
      <c r="K188" s="1">
        <v>25.0</v>
      </c>
      <c r="L188" s="1"/>
      <c r="M188" s="5">
        <v>120.0</v>
      </c>
    </row>
    <row r="189" ht="15.75" hidden="1" customHeight="1">
      <c r="A189" s="1" t="s">
        <v>542</v>
      </c>
      <c r="B189" s="2">
        <v>155.0</v>
      </c>
      <c r="C189" s="1" t="s">
        <v>169</v>
      </c>
      <c r="D189" s="1" t="s">
        <v>543</v>
      </c>
      <c r="E189" s="3">
        <v>44438.0</v>
      </c>
      <c r="F189" s="1" t="s">
        <v>3</v>
      </c>
      <c r="G189" s="4">
        <v>2.19054211E8</v>
      </c>
      <c r="H189" s="1" t="s">
        <v>535</v>
      </c>
      <c r="I189" s="2"/>
      <c r="J189" s="1" t="s">
        <v>124</v>
      </c>
      <c r="K189" s="1">
        <v>25.0</v>
      </c>
      <c r="L189" s="1"/>
      <c r="M189" s="5">
        <v>120.0</v>
      </c>
    </row>
    <row r="190" ht="15.75" hidden="1" customHeight="1">
      <c r="A190" s="1" t="s">
        <v>544</v>
      </c>
      <c r="B190" s="2">
        <v>159.0</v>
      </c>
      <c r="C190" s="1" t="s">
        <v>461</v>
      </c>
      <c r="D190" s="1" t="s">
        <v>545</v>
      </c>
      <c r="E190" s="3">
        <v>44461.0</v>
      </c>
      <c r="F190" s="1" t="s">
        <v>3</v>
      </c>
      <c r="G190" s="4">
        <v>2.19054211E8</v>
      </c>
      <c r="H190" s="1" t="s">
        <v>535</v>
      </c>
      <c r="I190" s="2"/>
      <c r="J190" s="1" t="s">
        <v>124</v>
      </c>
      <c r="K190" s="1">
        <v>20.0</v>
      </c>
      <c r="L190" s="1"/>
      <c r="M190" s="5">
        <v>123.68</v>
      </c>
    </row>
    <row r="191" ht="15.75" hidden="1" customHeight="1">
      <c r="A191" s="1" t="s">
        <v>546</v>
      </c>
      <c r="B191" s="2">
        <v>166.0</v>
      </c>
      <c r="C191" s="1" t="s">
        <v>255</v>
      </c>
      <c r="D191" s="1" t="s">
        <v>547</v>
      </c>
      <c r="E191" s="3">
        <v>44461.0</v>
      </c>
      <c r="F191" s="1" t="s">
        <v>3</v>
      </c>
      <c r="G191" s="4">
        <v>2.19054211E8</v>
      </c>
      <c r="H191" s="1" t="s">
        <v>535</v>
      </c>
      <c r="I191" s="2"/>
      <c r="J191" s="1" t="s">
        <v>124</v>
      </c>
      <c r="K191" s="1">
        <v>100.0</v>
      </c>
      <c r="L191" s="1"/>
      <c r="M191" s="5">
        <v>133.17</v>
      </c>
    </row>
    <row r="192" ht="15.75" hidden="1" customHeight="1">
      <c r="A192" s="1" t="s">
        <v>548</v>
      </c>
      <c r="B192" s="2">
        <v>170.0</v>
      </c>
      <c r="C192" s="1" t="s">
        <v>449</v>
      </c>
      <c r="D192" s="1" t="s">
        <v>549</v>
      </c>
      <c r="E192" s="3">
        <v>44467.0</v>
      </c>
      <c r="F192" s="1" t="s">
        <v>3</v>
      </c>
      <c r="G192" s="4">
        <v>2.19054211E8</v>
      </c>
      <c r="H192" s="1" t="s">
        <v>535</v>
      </c>
      <c r="I192" s="2"/>
      <c r="J192" s="1" t="s">
        <v>9</v>
      </c>
      <c r="K192" s="1">
        <v>125.0</v>
      </c>
      <c r="L192" s="1"/>
      <c r="M192" s="5">
        <v>100.0</v>
      </c>
    </row>
    <row r="193" ht="15.75" hidden="1" customHeight="1">
      <c r="A193" s="1" t="s">
        <v>550</v>
      </c>
      <c r="B193" s="2">
        <v>173.0</v>
      </c>
      <c r="C193" s="1" t="s">
        <v>286</v>
      </c>
      <c r="D193" s="1" t="s">
        <v>551</v>
      </c>
      <c r="E193" s="3">
        <v>44467.0</v>
      </c>
      <c r="F193" s="1" t="s">
        <v>3</v>
      </c>
      <c r="G193" s="4">
        <v>2.19054211E8</v>
      </c>
      <c r="H193" s="1" t="s">
        <v>535</v>
      </c>
      <c r="I193" s="2"/>
      <c r="J193" s="1" t="s">
        <v>124</v>
      </c>
      <c r="K193" s="1">
        <v>100.0</v>
      </c>
      <c r="L193" s="1"/>
      <c r="M193" s="5">
        <v>105.0</v>
      </c>
    </row>
    <row r="194" ht="15.75" hidden="1" customHeight="1">
      <c r="A194" s="1" t="s">
        <v>552</v>
      </c>
      <c r="B194" s="2">
        <v>175.0</v>
      </c>
      <c r="C194" s="1" t="s">
        <v>553</v>
      </c>
      <c r="D194" s="1" t="s">
        <v>554</v>
      </c>
      <c r="E194" s="3">
        <v>44467.0</v>
      </c>
      <c r="F194" s="1" t="s">
        <v>3</v>
      </c>
      <c r="G194" s="4">
        <v>2.19054211E8</v>
      </c>
      <c r="H194" s="1" t="s">
        <v>535</v>
      </c>
      <c r="I194" s="2"/>
      <c r="J194" s="1" t="s">
        <v>9</v>
      </c>
      <c r="K194" s="1">
        <v>2.0</v>
      </c>
      <c r="L194" s="1"/>
      <c r="M194" s="5">
        <v>119.35</v>
      </c>
    </row>
    <row r="195" ht="15.75" hidden="1" customHeight="1">
      <c r="A195" s="1" t="s">
        <v>555</v>
      </c>
      <c r="B195" s="2">
        <v>176.0</v>
      </c>
      <c r="C195" s="1" t="s">
        <v>449</v>
      </c>
      <c r="D195" s="1" t="s">
        <v>556</v>
      </c>
      <c r="E195" s="3">
        <v>44467.0</v>
      </c>
      <c r="F195" s="1" t="s">
        <v>3</v>
      </c>
      <c r="G195" s="4">
        <v>2.19054211E8</v>
      </c>
      <c r="H195" s="1" t="s">
        <v>535</v>
      </c>
      <c r="I195" s="2"/>
      <c r="J195" s="1" t="s">
        <v>9</v>
      </c>
      <c r="K195" s="1">
        <v>125.0</v>
      </c>
      <c r="L195" s="1"/>
      <c r="M195" s="5">
        <v>100.0</v>
      </c>
    </row>
    <row r="196" ht="15.75" hidden="1" customHeight="1">
      <c r="A196" s="1" t="s">
        <v>557</v>
      </c>
      <c r="B196" s="2">
        <v>177.0</v>
      </c>
      <c r="C196" s="1" t="s">
        <v>513</v>
      </c>
      <c r="D196" s="1" t="s">
        <v>558</v>
      </c>
      <c r="E196" s="3">
        <v>44467.0</v>
      </c>
      <c r="F196" s="1" t="s">
        <v>3</v>
      </c>
      <c r="G196" s="4">
        <v>2.19054211E8</v>
      </c>
      <c r="H196" s="1" t="s">
        <v>535</v>
      </c>
      <c r="I196" s="2"/>
      <c r="J196" s="1" t="s">
        <v>124</v>
      </c>
      <c r="K196" s="1">
        <v>20.0</v>
      </c>
      <c r="L196" s="1"/>
      <c r="M196" s="5">
        <v>158.42</v>
      </c>
    </row>
    <row r="197" ht="15.75" hidden="1" customHeight="1">
      <c r="A197" s="1" t="s">
        <v>559</v>
      </c>
      <c r="B197" s="2">
        <v>179.0</v>
      </c>
      <c r="C197" s="1" t="s">
        <v>27</v>
      </c>
      <c r="D197" s="1" t="s">
        <v>560</v>
      </c>
      <c r="E197" s="3">
        <v>44467.0</v>
      </c>
      <c r="F197" s="1" t="s">
        <v>3</v>
      </c>
      <c r="G197" s="4">
        <v>2.19054211E8</v>
      </c>
      <c r="H197" s="1" t="s">
        <v>535</v>
      </c>
      <c r="I197" s="2"/>
      <c r="J197" s="1" t="s">
        <v>124</v>
      </c>
      <c r="K197" s="1">
        <v>100.0</v>
      </c>
      <c r="L197" s="1"/>
      <c r="M197" s="5">
        <v>127.22</v>
      </c>
    </row>
    <row r="198" ht="15.75" hidden="1" customHeight="1">
      <c r="A198" s="1" t="s">
        <v>561</v>
      </c>
      <c r="B198" s="2">
        <v>182.0</v>
      </c>
      <c r="C198" s="1" t="s">
        <v>464</v>
      </c>
      <c r="D198" s="1" t="s">
        <v>562</v>
      </c>
      <c r="E198" s="3">
        <v>44467.0</v>
      </c>
      <c r="F198" s="1" t="s">
        <v>3</v>
      </c>
      <c r="G198" s="4">
        <v>2.19054211E8</v>
      </c>
      <c r="H198" s="1" t="s">
        <v>535</v>
      </c>
      <c r="I198" s="2"/>
      <c r="J198" s="1" t="s">
        <v>124</v>
      </c>
      <c r="K198" s="1">
        <v>15.0</v>
      </c>
      <c r="L198" s="1"/>
      <c r="M198" s="5">
        <v>129.8</v>
      </c>
    </row>
    <row r="199" ht="15.75" hidden="1" customHeight="1">
      <c r="A199" s="1" t="s">
        <v>563</v>
      </c>
      <c r="B199" s="2">
        <v>183.0</v>
      </c>
      <c r="C199" s="1" t="s">
        <v>482</v>
      </c>
      <c r="D199" s="1" t="s">
        <v>564</v>
      </c>
      <c r="E199" s="3">
        <v>44467.0</v>
      </c>
      <c r="F199" s="1" t="s">
        <v>3</v>
      </c>
      <c r="G199" s="4">
        <v>2.19054211E8</v>
      </c>
      <c r="H199" s="1" t="s">
        <v>535</v>
      </c>
      <c r="I199" s="2"/>
      <c r="J199" s="1" t="s">
        <v>9</v>
      </c>
      <c r="K199" s="1">
        <v>10.0</v>
      </c>
      <c r="L199" s="1"/>
      <c r="M199" s="5">
        <v>141.39</v>
      </c>
    </row>
    <row r="200" ht="15.75" hidden="1" customHeight="1">
      <c r="A200" s="1" t="s">
        <v>565</v>
      </c>
      <c r="B200" s="2">
        <v>184.0</v>
      </c>
      <c r="C200" s="1" t="s">
        <v>566</v>
      </c>
      <c r="D200" s="1" t="s">
        <v>567</v>
      </c>
      <c r="E200" s="3">
        <v>44467.0</v>
      </c>
      <c r="F200" s="1" t="s">
        <v>3</v>
      </c>
      <c r="G200" s="4">
        <v>2.19054211E8</v>
      </c>
      <c r="H200" s="1" t="s">
        <v>535</v>
      </c>
      <c r="I200" s="2"/>
      <c r="J200" s="1" t="s">
        <v>9</v>
      </c>
      <c r="K200" s="1">
        <v>10.0</v>
      </c>
      <c r="L200" s="1"/>
      <c r="M200" s="5">
        <v>129.11</v>
      </c>
    </row>
    <row r="201" ht="15.75" hidden="1" customHeight="1">
      <c r="A201" s="1" t="s">
        <v>568</v>
      </c>
      <c r="B201" s="2">
        <v>188.0</v>
      </c>
      <c r="C201" s="1" t="s">
        <v>569</v>
      </c>
      <c r="D201" s="1" t="s">
        <v>570</v>
      </c>
      <c r="E201" s="3">
        <v>44475.0</v>
      </c>
      <c r="F201" s="1" t="s">
        <v>3</v>
      </c>
      <c r="G201" s="4">
        <v>2.19054211E8</v>
      </c>
      <c r="H201" s="1" t="s">
        <v>535</v>
      </c>
      <c r="I201" s="2"/>
      <c r="J201" s="1" t="s">
        <v>9</v>
      </c>
      <c r="K201" s="1">
        <v>2.0</v>
      </c>
      <c r="L201" s="1"/>
      <c r="M201" s="5">
        <v>178.0</v>
      </c>
    </row>
    <row r="202" ht="15.75" hidden="1" customHeight="1">
      <c r="A202" s="1" t="s">
        <v>571</v>
      </c>
      <c r="B202" s="2">
        <v>190.0</v>
      </c>
      <c r="C202" s="1" t="s">
        <v>39</v>
      </c>
      <c r="D202" s="1" t="s">
        <v>572</v>
      </c>
      <c r="E202" s="3">
        <v>44476.0</v>
      </c>
      <c r="F202" s="1" t="s">
        <v>3</v>
      </c>
      <c r="G202" s="4">
        <v>2.19054211E8</v>
      </c>
      <c r="H202" s="1" t="s">
        <v>535</v>
      </c>
      <c r="I202" s="2"/>
      <c r="J202" s="1" t="s">
        <v>16</v>
      </c>
      <c r="K202" s="1">
        <v>270.0</v>
      </c>
      <c r="L202" s="1"/>
      <c r="M202" s="5">
        <v>99.0</v>
      </c>
    </row>
    <row r="203" ht="15.75" hidden="1" customHeight="1">
      <c r="A203" s="1" t="s">
        <v>573</v>
      </c>
      <c r="B203" s="2">
        <v>191.0</v>
      </c>
      <c r="C203" s="1" t="s">
        <v>255</v>
      </c>
      <c r="D203" s="1" t="s">
        <v>574</v>
      </c>
      <c r="E203" s="3">
        <v>44476.0</v>
      </c>
      <c r="F203" s="1" t="s">
        <v>3</v>
      </c>
      <c r="G203" s="4">
        <v>2.19054211E8</v>
      </c>
      <c r="H203" s="1" t="s">
        <v>535</v>
      </c>
      <c r="I203" s="2"/>
      <c r="J203" s="1" t="s">
        <v>124</v>
      </c>
      <c r="K203" s="1">
        <v>100.0</v>
      </c>
      <c r="L203" s="1"/>
      <c r="M203" s="5">
        <v>133.17</v>
      </c>
    </row>
    <row r="204" ht="15.75" hidden="1" customHeight="1">
      <c r="A204" s="1" t="s">
        <v>575</v>
      </c>
      <c r="B204" s="2">
        <v>195.0</v>
      </c>
      <c r="C204" s="1" t="s">
        <v>449</v>
      </c>
      <c r="D204" s="1" t="s">
        <v>576</v>
      </c>
      <c r="E204" s="3">
        <v>44476.0</v>
      </c>
      <c r="F204" s="1" t="s">
        <v>3</v>
      </c>
      <c r="G204" s="4">
        <v>2.19054211E8</v>
      </c>
      <c r="H204" s="1" t="s">
        <v>535</v>
      </c>
      <c r="I204" s="2"/>
      <c r="J204" s="1" t="s">
        <v>9</v>
      </c>
      <c r="K204" s="1">
        <v>125.0</v>
      </c>
      <c r="L204" s="1"/>
      <c r="M204" s="5">
        <v>100.0</v>
      </c>
    </row>
    <row r="205" ht="15.75" hidden="1" customHeight="1">
      <c r="A205" s="1" t="s">
        <v>577</v>
      </c>
      <c r="B205" s="2">
        <v>204.0</v>
      </c>
      <c r="C205" s="1" t="s">
        <v>475</v>
      </c>
      <c r="D205" s="1" t="s">
        <v>578</v>
      </c>
      <c r="E205" s="3">
        <v>44494.0</v>
      </c>
      <c r="F205" s="1" t="s">
        <v>3</v>
      </c>
      <c r="G205" s="4">
        <v>2.19054211E8</v>
      </c>
      <c r="H205" s="1" t="s">
        <v>535</v>
      </c>
      <c r="I205" s="2"/>
      <c r="J205" s="1" t="s">
        <v>124</v>
      </c>
      <c r="K205" s="1">
        <v>25.0</v>
      </c>
      <c r="L205" s="1"/>
      <c r="M205" s="5">
        <v>155.0</v>
      </c>
    </row>
    <row r="206" ht="15.75" hidden="1" customHeight="1">
      <c r="A206" s="1" t="s">
        <v>579</v>
      </c>
      <c r="B206" s="2">
        <v>206.0</v>
      </c>
      <c r="C206" s="1" t="s">
        <v>488</v>
      </c>
      <c r="D206" s="1" t="s">
        <v>580</v>
      </c>
      <c r="E206" s="3">
        <v>44494.0</v>
      </c>
      <c r="F206" s="1" t="s">
        <v>3</v>
      </c>
      <c r="G206" s="4">
        <v>2.19054211E8</v>
      </c>
      <c r="H206" s="1" t="s">
        <v>535</v>
      </c>
      <c r="I206" s="2"/>
      <c r="J206" s="1" t="s">
        <v>9</v>
      </c>
      <c r="K206" s="1">
        <v>2.0</v>
      </c>
      <c r="L206" s="1"/>
      <c r="M206" s="5">
        <v>105.0</v>
      </c>
    </row>
    <row r="207" ht="15.75" hidden="1" customHeight="1">
      <c r="A207" s="1" t="s">
        <v>581</v>
      </c>
      <c r="B207" s="2">
        <v>324.0</v>
      </c>
      <c r="C207" s="1" t="s">
        <v>582</v>
      </c>
      <c r="D207" s="1" t="s">
        <v>583</v>
      </c>
      <c r="E207" s="3">
        <v>44669.0</v>
      </c>
      <c r="F207" s="1" t="s">
        <v>3</v>
      </c>
      <c r="G207" s="4">
        <v>2.19055221E8</v>
      </c>
      <c r="H207" s="1" t="s">
        <v>584</v>
      </c>
      <c r="I207" s="2"/>
      <c r="J207" s="1" t="s">
        <v>124</v>
      </c>
      <c r="K207" s="1">
        <v>1200.0</v>
      </c>
      <c r="L207" s="1"/>
      <c r="M207" s="5">
        <v>165.0</v>
      </c>
    </row>
    <row r="208" ht="15.75" hidden="1" customHeight="1">
      <c r="A208" s="1" t="s">
        <v>585</v>
      </c>
      <c r="B208" s="2">
        <v>210.0</v>
      </c>
      <c r="C208" s="1" t="s">
        <v>169</v>
      </c>
      <c r="D208" s="1" t="s">
        <v>586</v>
      </c>
      <c r="E208" s="3">
        <v>44501.0</v>
      </c>
      <c r="F208" s="1" t="s">
        <v>3</v>
      </c>
      <c r="G208" s="4">
        <v>2.19057211E8</v>
      </c>
      <c r="H208" s="1" t="s">
        <v>587</v>
      </c>
      <c r="I208" s="2"/>
      <c r="J208" s="1" t="s">
        <v>124</v>
      </c>
      <c r="K208" s="1">
        <v>25.0</v>
      </c>
      <c r="L208" s="1"/>
      <c r="M208" s="5">
        <v>120.0</v>
      </c>
    </row>
    <row r="209" ht="15.75" hidden="1" customHeight="1">
      <c r="A209" s="1" t="s">
        <v>588</v>
      </c>
      <c r="B209" s="2">
        <v>213.0</v>
      </c>
      <c r="C209" s="1" t="s">
        <v>461</v>
      </c>
      <c r="D209" s="1" t="s">
        <v>589</v>
      </c>
      <c r="E209" s="3">
        <v>44508.0</v>
      </c>
      <c r="F209" s="1" t="s">
        <v>3</v>
      </c>
      <c r="G209" s="4">
        <v>2.19057211E8</v>
      </c>
      <c r="H209" s="1" t="s">
        <v>587</v>
      </c>
      <c r="I209" s="2"/>
      <c r="J209" s="1" t="s">
        <v>124</v>
      </c>
      <c r="K209" s="1">
        <v>10.0</v>
      </c>
      <c r="L209" s="1"/>
      <c r="M209" s="5">
        <v>125.89</v>
      </c>
    </row>
    <row r="210" ht="15.75" hidden="1" customHeight="1">
      <c r="A210" s="1" t="s">
        <v>590</v>
      </c>
      <c r="B210" s="2">
        <v>215.0</v>
      </c>
      <c r="C210" s="1" t="s">
        <v>449</v>
      </c>
      <c r="D210" s="1" t="s">
        <v>591</v>
      </c>
      <c r="E210" s="3">
        <v>44508.0</v>
      </c>
      <c r="F210" s="1" t="s">
        <v>3</v>
      </c>
      <c r="G210" s="4">
        <v>2.19057211E8</v>
      </c>
      <c r="H210" s="1" t="s">
        <v>587</v>
      </c>
      <c r="I210" s="2"/>
      <c r="J210" s="1" t="s">
        <v>9</v>
      </c>
      <c r="K210" s="1">
        <v>125.0</v>
      </c>
      <c r="L210" s="1"/>
      <c r="M210" s="5">
        <v>100.0</v>
      </c>
    </row>
    <row r="211" ht="15.75" hidden="1" customHeight="1">
      <c r="A211" s="1" t="s">
        <v>151</v>
      </c>
      <c r="B211" s="2">
        <v>344.0</v>
      </c>
      <c r="C211" s="1" t="s">
        <v>27</v>
      </c>
      <c r="D211" s="1" t="s">
        <v>152</v>
      </c>
      <c r="E211" s="3">
        <v>44699.0</v>
      </c>
      <c r="F211" s="1" t="s">
        <v>3</v>
      </c>
      <c r="G211" s="4">
        <v>2.19062221E8</v>
      </c>
      <c r="H211" s="1" t="s">
        <v>592</v>
      </c>
      <c r="I211" s="2"/>
      <c r="J211" s="1" t="s">
        <v>440</v>
      </c>
      <c r="K211" s="1">
        <v>5.0</v>
      </c>
      <c r="L211" s="1"/>
      <c r="M211" s="5">
        <v>192.22</v>
      </c>
    </row>
    <row r="212" ht="15.75" hidden="1" customHeight="1">
      <c r="A212" s="1" t="s">
        <v>593</v>
      </c>
      <c r="B212" s="2">
        <v>348.0</v>
      </c>
      <c r="C212" s="1" t="s">
        <v>43</v>
      </c>
      <c r="D212" s="1" t="s">
        <v>594</v>
      </c>
      <c r="E212" s="3">
        <v>44705.0</v>
      </c>
      <c r="F212" s="1" t="s">
        <v>3</v>
      </c>
      <c r="G212" s="4">
        <v>2.19062221E8</v>
      </c>
      <c r="H212" s="1" t="s">
        <v>592</v>
      </c>
      <c r="I212" s="2"/>
      <c r="J212" s="1" t="s">
        <v>9</v>
      </c>
      <c r="K212" s="1">
        <v>50.0</v>
      </c>
      <c r="L212" s="1"/>
      <c r="M212" s="5">
        <v>122.24</v>
      </c>
    </row>
    <row r="213" ht="15.75" hidden="1" customHeight="1">
      <c r="A213" s="1" t="s">
        <v>595</v>
      </c>
      <c r="B213" s="2">
        <v>352.0</v>
      </c>
      <c r="C213" s="1" t="s">
        <v>255</v>
      </c>
      <c r="D213" s="1" t="s">
        <v>596</v>
      </c>
      <c r="E213" s="3">
        <v>44708.0</v>
      </c>
      <c r="F213" s="1" t="s">
        <v>3</v>
      </c>
      <c r="G213" s="4">
        <v>2.19062221E8</v>
      </c>
      <c r="H213" s="1" t="s">
        <v>592</v>
      </c>
      <c r="I213" s="2"/>
      <c r="J213" s="1" t="s">
        <v>124</v>
      </c>
      <c r="K213" s="1">
        <v>100.0</v>
      </c>
      <c r="L213" s="1"/>
      <c r="M213" s="5">
        <v>133.17</v>
      </c>
    </row>
    <row r="214" ht="15.75" hidden="1" customHeight="1">
      <c r="A214" s="1" t="s">
        <v>597</v>
      </c>
      <c r="B214" s="2">
        <v>355.0</v>
      </c>
      <c r="C214" s="1" t="s">
        <v>219</v>
      </c>
      <c r="D214" s="1" t="s">
        <v>598</v>
      </c>
      <c r="E214" s="3">
        <v>44713.0</v>
      </c>
      <c r="F214" s="1" t="s">
        <v>3</v>
      </c>
      <c r="G214" s="4">
        <v>2.19062221E8</v>
      </c>
      <c r="H214" s="1" t="s">
        <v>592</v>
      </c>
      <c r="I214" s="2"/>
      <c r="J214" s="1" t="s">
        <v>124</v>
      </c>
      <c r="K214" s="1">
        <v>100.0</v>
      </c>
      <c r="L214" s="1"/>
      <c r="M214" s="5">
        <v>100.0</v>
      </c>
    </row>
    <row r="215" ht="15.75" hidden="1" customHeight="1">
      <c r="A215" s="1" t="s">
        <v>599</v>
      </c>
      <c r="B215" s="2">
        <v>356.0</v>
      </c>
      <c r="C215" s="1" t="s">
        <v>286</v>
      </c>
      <c r="D215" s="1" t="s">
        <v>600</v>
      </c>
      <c r="E215" s="3">
        <v>44713.0</v>
      </c>
      <c r="F215" s="1" t="s">
        <v>3</v>
      </c>
      <c r="G215" s="4">
        <v>2.19062221E8</v>
      </c>
      <c r="H215" s="1" t="s">
        <v>592</v>
      </c>
      <c r="I215" s="2"/>
      <c r="J215" s="1" t="s">
        <v>416</v>
      </c>
      <c r="K215" s="1">
        <v>200.0</v>
      </c>
      <c r="L215" s="1"/>
      <c r="M215" s="5">
        <v>120.0</v>
      </c>
    </row>
    <row r="216" ht="15.75" hidden="1" customHeight="1">
      <c r="A216" s="1" t="s">
        <v>601</v>
      </c>
      <c r="B216" s="2">
        <v>358.0</v>
      </c>
      <c r="C216" s="1" t="s">
        <v>43</v>
      </c>
      <c r="D216" s="1" t="s">
        <v>602</v>
      </c>
      <c r="E216" s="3">
        <v>44713.0</v>
      </c>
      <c r="F216" s="1" t="s">
        <v>3</v>
      </c>
      <c r="G216" s="4">
        <v>2.19062221E8</v>
      </c>
      <c r="H216" s="1" t="s">
        <v>592</v>
      </c>
      <c r="I216" s="2"/>
      <c r="J216" s="1" t="s">
        <v>9</v>
      </c>
      <c r="K216" s="1">
        <v>10.0</v>
      </c>
      <c r="L216" s="1"/>
      <c r="M216" s="5">
        <v>128.6</v>
      </c>
    </row>
    <row r="217" ht="15.75" hidden="1" customHeight="1">
      <c r="A217" s="1" t="s">
        <v>603</v>
      </c>
      <c r="B217" s="2">
        <v>636.0</v>
      </c>
      <c r="C217" s="1" t="s">
        <v>286</v>
      </c>
      <c r="D217" s="1" t="s">
        <v>604</v>
      </c>
      <c r="E217" s="1" t="s">
        <v>60</v>
      </c>
      <c r="F217" s="1" t="s">
        <v>3</v>
      </c>
      <c r="G217" s="4">
        <v>2.19062221E8</v>
      </c>
      <c r="H217" s="1" t="s">
        <v>592</v>
      </c>
      <c r="I217" s="2"/>
      <c r="J217" s="1" t="s">
        <v>124</v>
      </c>
      <c r="K217" s="1">
        <v>200.0</v>
      </c>
      <c r="L217" s="1"/>
      <c r="M217" s="5">
        <v>120.0</v>
      </c>
    </row>
    <row r="218" ht="15.75" hidden="1" customHeight="1">
      <c r="A218" s="1" t="s">
        <v>605</v>
      </c>
      <c r="B218" s="2">
        <v>637.0</v>
      </c>
      <c r="C218" s="1" t="s">
        <v>286</v>
      </c>
      <c r="D218" s="1" t="s">
        <v>606</v>
      </c>
      <c r="E218" s="1" t="s">
        <v>60</v>
      </c>
      <c r="F218" s="1" t="s">
        <v>3</v>
      </c>
      <c r="G218" s="4">
        <v>2.19062221E8</v>
      </c>
      <c r="H218" s="1" t="s">
        <v>592</v>
      </c>
      <c r="I218" s="2"/>
      <c r="J218" s="1" t="s">
        <v>124</v>
      </c>
      <c r="K218" s="1">
        <v>200.0</v>
      </c>
      <c r="L218" s="1"/>
      <c r="M218" s="5">
        <v>120.0</v>
      </c>
    </row>
    <row r="219" ht="15.75" hidden="1" customHeight="1">
      <c r="A219" s="1" t="s">
        <v>607</v>
      </c>
      <c r="B219" s="2">
        <v>638.0</v>
      </c>
      <c r="C219" s="1" t="s">
        <v>43</v>
      </c>
      <c r="D219" s="1" t="s">
        <v>608</v>
      </c>
      <c r="E219" s="1" t="s">
        <v>60</v>
      </c>
      <c r="F219" s="1" t="s">
        <v>3</v>
      </c>
      <c r="G219" s="4">
        <v>2.19062221E8</v>
      </c>
      <c r="H219" s="1" t="s">
        <v>592</v>
      </c>
      <c r="I219" s="2"/>
      <c r="J219" s="1" t="s">
        <v>124</v>
      </c>
      <c r="K219" s="1">
        <v>10.0</v>
      </c>
      <c r="L219" s="1"/>
      <c r="M219" s="5">
        <v>128.6</v>
      </c>
    </row>
    <row r="220" ht="15.75" hidden="1" customHeight="1">
      <c r="A220" s="1" t="s">
        <v>148</v>
      </c>
      <c r="B220" s="2">
        <v>125.0</v>
      </c>
      <c r="C220" s="1" t="s">
        <v>39</v>
      </c>
      <c r="D220" s="1" t="s">
        <v>149</v>
      </c>
      <c r="E220" s="3">
        <v>44424.0</v>
      </c>
      <c r="F220" s="1" t="s">
        <v>3</v>
      </c>
      <c r="G220" s="4">
        <v>2.19066211E8</v>
      </c>
      <c r="H220" s="1" t="s">
        <v>609</v>
      </c>
      <c r="I220" s="2"/>
      <c r="J220" s="1" t="s">
        <v>124</v>
      </c>
      <c r="K220" s="1">
        <v>225.0</v>
      </c>
      <c r="L220" s="1"/>
      <c r="M220" s="5">
        <v>108.28</v>
      </c>
    </row>
    <row r="221" ht="15.75" hidden="1" customHeight="1">
      <c r="A221" s="1" t="s">
        <v>610</v>
      </c>
      <c r="B221" s="2">
        <v>130.0</v>
      </c>
      <c r="C221" s="1" t="s">
        <v>219</v>
      </c>
      <c r="D221" s="1" t="s">
        <v>611</v>
      </c>
      <c r="E221" s="3">
        <v>44426.0</v>
      </c>
      <c r="F221" s="1" t="s">
        <v>3</v>
      </c>
      <c r="G221" s="4">
        <v>2.19066211E8</v>
      </c>
      <c r="H221" s="1" t="s">
        <v>609</v>
      </c>
      <c r="I221" s="2"/>
      <c r="J221" s="1" t="s">
        <v>124</v>
      </c>
      <c r="K221" s="1">
        <v>10.0</v>
      </c>
      <c r="L221" s="1"/>
      <c r="M221" s="5">
        <v>100.0</v>
      </c>
    </row>
    <row r="222" ht="15.75" hidden="1" customHeight="1">
      <c r="A222" s="1" t="s">
        <v>612</v>
      </c>
      <c r="B222" s="2">
        <v>144.0</v>
      </c>
      <c r="C222" s="1" t="s">
        <v>362</v>
      </c>
      <c r="D222" s="1" t="s">
        <v>613</v>
      </c>
      <c r="E222" s="3">
        <v>44438.0</v>
      </c>
      <c r="F222" s="1" t="s">
        <v>3</v>
      </c>
      <c r="G222" s="4">
        <v>2.19066211E8</v>
      </c>
      <c r="H222" s="1" t="s">
        <v>609</v>
      </c>
      <c r="I222" s="2"/>
      <c r="J222" s="1" t="s">
        <v>124</v>
      </c>
      <c r="K222" s="1">
        <v>600.0</v>
      </c>
      <c r="L222" s="1"/>
      <c r="M222" s="5">
        <v>95.07</v>
      </c>
    </row>
    <row r="223" ht="15.75" hidden="1" customHeight="1">
      <c r="A223" s="1" t="s">
        <v>614</v>
      </c>
      <c r="B223" s="2">
        <v>149.0</v>
      </c>
      <c r="C223" s="1" t="s">
        <v>219</v>
      </c>
      <c r="D223" s="1" t="s">
        <v>615</v>
      </c>
      <c r="E223" s="3">
        <v>44438.0</v>
      </c>
      <c r="F223" s="1" t="s">
        <v>3</v>
      </c>
      <c r="G223" s="4">
        <v>2.19066211E8</v>
      </c>
      <c r="H223" s="1" t="s">
        <v>609</v>
      </c>
      <c r="I223" s="2"/>
      <c r="J223" s="1" t="s">
        <v>124</v>
      </c>
      <c r="K223" s="1">
        <v>100.0</v>
      </c>
      <c r="L223" s="1"/>
      <c r="M223" s="5">
        <v>100.0</v>
      </c>
    </row>
    <row r="224" ht="15.75" hidden="1" customHeight="1">
      <c r="A224" s="1" t="s">
        <v>616</v>
      </c>
      <c r="B224" s="2">
        <v>157.0</v>
      </c>
      <c r="C224" s="1" t="s">
        <v>173</v>
      </c>
      <c r="D224" s="1" t="s">
        <v>617</v>
      </c>
      <c r="E224" s="3">
        <v>44440.0</v>
      </c>
      <c r="F224" s="1" t="s">
        <v>3</v>
      </c>
      <c r="G224" s="4">
        <v>2.19066211E8</v>
      </c>
      <c r="H224" s="1" t="s">
        <v>609</v>
      </c>
      <c r="I224" s="2"/>
      <c r="J224" s="1" t="s">
        <v>9</v>
      </c>
      <c r="K224" s="1">
        <v>120.0</v>
      </c>
      <c r="L224" s="1"/>
      <c r="M224" s="5">
        <v>79.25</v>
      </c>
    </row>
    <row r="225" ht="15.75" hidden="1" customHeight="1">
      <c r="A225" s="1" t="s">
        <v>618</v>
      </c>
      <c r="B225" s="2">
        <v>181.0</v>
      </c>
      <c r="C225" s="1" t="s">
        <v>27</v>
      </c>
      <c r="D225" s="1" t="s">
        <v>619</v>
      </c>
      <c r="E225" s="3">
        <v>44467.0</v>
      </c>
      <c r="F225" s="1" t="s">
        <v>86</v>
      </c>
      <c r="G225" s="4">
        <v>2.19066211E8</v>
      </c>
      <c r="H225" s="1" t="s">
        <v>609</v>
      </c>
      <c r="I225" s="2"/>
      <c r="J225" s="1" t="s">
        <v>16</v>
      </c>
      <c r="K225" s="1">
        <v>250.0</v>
      </c>
      <c r="L225" s="1"/>
      <c r="M225" s="5">
        <v>93.26</v>
      </c>
    </row>
    <row r="226" ht="15.75" hidden="1" customHeight="1">
      <c r="A226" s="1" t="s">
        <v>571</v>
      </c>
      <c r="B226" s="2">
        <v>190.0</v>
      </c>
      <c r="C226" s="1" t="s">
        <v>39</v>
      </c>
      <c r="D226" s="1" t="s">
        <v>572</v>
      </c>
      <c r="E226" s="3">
        <v>44476.0</v>
      </c>
      <c r="F226" s="1" t="s">
        <v>3</v>
      </c>
      <c r="G226" s="4">
        <v>2.19066211E8</v>
      </c>
      <c r="H226" s="1" t="s">
        <v>609</v>
      </c>
      <c r="I226" s="2"/>
      <c r="J226" s="1" t="s">
        <v>16</v>
      </c>
      <c r="K226" s="1">
        <v>380.0</v>
      </c>
      <c r="L226" s="1"/>
      <c r="M226" s="5">
        <v>99.0</v>
      </c>
    </row>
    <row r="227" ht="15.75" hidden="1" customHeight="1">
      <c r="A227" s="1" t="s">
        <v>620</v>
      </c>
      <c r="B227" s="2">
        <v>1.0</v>
      </c>
      <c r="C227" s="1" t="s">
        <v>190</v>
      </c>
      <c r="D227" s="1" t="s">
        <v>621</v>
      </c>
      <c r="E227" s="3">
        <v>44414.0</v>
      </c>
      <c r="F227" s="1" t="s">
        <v>3</v>
      </c>
      <c r="G227" s="4">
        <v>2.19071201E8</v>
      </c>
      <c r="H227" s="1" t="s">
        <v>622</v>
      </c>
      <c r="I227" s="2"/>
      <c r="J227" s="1" t="s">
        <v>623</v>
      </c>
      <c r="K227" s="1">
        <v>1.0</v>
      </c>
      <c r="L227" s="1"/>
      <c r="M227" s="5">
        <v>122.0</v>
      </c>
    </row>
    <row r="228" ht="15.75" hidden="1" customHeight="1">
      <c r="A228" s="1" t="s">
        <v>624</v>
      </c>
      <c r="B228" s="2">
        <v>1.0</v>
      </c>
      <c r="C228" s="1" t="s">
        <v>190</v>
      </c>
      <c r="D228" s="1" t="s">
        <v>621</v>
      </c>
      <c r="E228" s="3">
        <v>44414.0</v>
      </c>
      <c r="F228" s="1" t="s">
        <v>3</v>
      </c>
      <c r="G228" s="4">
        <v>2.19071201E8</v>
      </c>
      <c r="H228" s="1" t="s">
        <v>622</v>
      </c>
      <c r="I228" s="2"/>
      <c r="J228" s="1" t="s">
        <v>623</v>
      </c>
      <c r="K228" s="1">
        <v>1.0</v>
      </c>
      <c r="L228" s="1"/>
      <c r="M228" s="5">
        <v>122.0</v>
      </c>
    </row>
    <row r="229" ht="15.75" hidden="1" customHeight="1">
      <c r="A229" s="1" t="s">
        <v>625</v>
      </c>
      <c r="B229" s="2">
        <v>18.0</v>
      </c>
      <c r="C229" s="1" t="s">
        <v>27</v>
      </c>
      <c r="D229" s="1" t="s">
        <v>626</v>
      </c>
      <c r="E229" s="3">
        <v>44417.0</v>
      </c>
      <c r="F229" s="1" t="s">
        <v>3</v>
      </c>
      <c r="G229" s="4">
        <v>2.19071201E8</v>
      </c>
      <c r="I229" s="2"/>
      <c r="J229" s="1" t="s">
        <v>9</v>
      </c>
      <c r="K229" s="1">
        <v>38.0</v>
      </c>
      <c r="L229" s="1"/>
      <c r="M229" s="5">
        <v>114.78</v>
      </c>
    </row>
    <row r="230" ht="15.75" hidden="1" customHeight="1">
      <c r="A230" s="1" t="s">
        <v>627</v>
      </c>
      <c r="B230" s="2">
        <v>28.0</v>
      </c>
      <c r="C230" s="1" t="s">
        <v>628</v>
      </c>
      <c r="D230" s="1" t="s">
        <v>629</v>
      </c>
      <c r="E230" s="3">
        <v>44417.0</v>
      </c>
      <c r="F230" s="1" t="s">
        <v>3</v>
      </c>
      <c r="G230" s="4">
        <v>2.19071201E8</v>
      </c>
      <c r="I230" s="2"/>
      <c r="J230" s="1" t="s">
        <v>9</v>
      </c>
      <c r="K230" s="1">
        <v>1.0</v>
      </c>
      <c r="L230" s="1"/>
      <c r="M230" s="5">
        <v>122.0</v>
      </c>
    </row>
    <row r="231" ht="15.75" hidden="1" customHeight="1">
      <c r="A231" s="1" t="s">
        <v>630</v>
      </c>
      <c r="B231" s="2">
        <v>36.0</v>
      </c>
      <c r="C231" s="1" t="s">
        <v>631</v>
      </c>
      <c r="D231" s="1" t="s">
        <v>632</v>
      </c>
      <c r="E231" s="3">
        <v>44417.0</v>
      </c>
      <c r="F231" s="1" t="s">
        <v>3</v>
      </c>
      <c r="G231" s="4">
        <v>2.19071201E8</v>
      </c>
      <c r="I231" s="2"/>
      <c r="J231" s="1" t="s">
        <v>633</v>
      </c>
      <c r="K231" s="1">
        <v>25.0</v>
      </c>
      <c r="L231" s="1"/>
      <c r="M231" s="5">
        <v>134.45</v>
      </c>
    </row>
    <row r="232" ht="15.75" hidden="1" customHeight="1">
      <c r="A232" s="1" t="s">
        <v>634</v>
      </c>
      <c r="B232" s="2">
        <v>46.0</v>
      </c>
      <c r="C232" s="1" t="s">
        <v>27</v>
      </c>
      <c r="D232" s="1" t="s">
        <v>635</v>
      </c>
      <c r="E232" s="3">
        <v>44417.0</v>
      </c>
      <c r="F232" s="1" t="s">
        <v>3</v>
      </c>
      <c r="G232" s="4">
        <v>2.19071201E8</v>
      </c>
      <c r="I232" s="2"/>
      <c r="J232" s="1" t="s">
        <v>9</v>
      </c>
      <c r="K232" s="1">
        <v>16.0</v>
      </c>
      <c r="L232" s="1"/>
      <c r="M232" s="5">
        <v>114.78</v>
      </c>
    </row>
    <row r="233" ht="15.75" hidden="1" customHeight="1">
      <c r="A233" s="1" t="s">
        <v>636</v>
      </c>
      <c r="B233" s="2">
        <v>47.0</v>
      </c>
      <c r="C233" s="1" t="s">
        <v>190</v>
      </c>
      <c r="D233" s="1" t="s">
        <v>637</v>
      </c>
      <c r="E233" s="3">
        <v>44417.0</v>
      </c>
      <c r="F233" s="1" t="s">
        <v>3</v>
      </c>
      <c r="G233" s="4">
        <v>2.19072201E8</v>
      </c>
      <c r="I233" s="2"/>
      <c r="J233" s="1" t="s">
        <v>9</v>
      </c>
      <c r="K233" s="1">
        <v>2.0</v>
      </c>
      <c r="L233" s="1"/>
      <c r="M233" s="5">
        <v>122.0</v>
      </c>
    </row>
    <row r="234" ht="15.75" hidden="1" customHeight="1">
      <c r="A234" s="1" t="s">
        <v>638</v>
      </c>
      <c r="B234" s="2">
        <v>62.0</v>
      </c>
      <c r="C234" s="1" t="s">
        <v>190</v>
      </c>
      <c r="D234" s="1" t="s">
        <v>639</v>
      </c>
      <c r="E234" s="3">
        <v>44418.0</v>
      </c>
      <c r="F234" s="1" t="s">
        <v>3</v>
      </c>
      <c r="G234" s="4">
        <v>2.19072201E8</v>
      </c>
      <c r="I234" s="2"/>
      <c r="J234" s="1" t="s">
        <v>9</v>
      </c>
      <c r="K234" s="1">
        <v>1.0</v>
      </c>
      <c r="L234" s="1"/>
      <c r="M234" s="5">
        <v>122.0</v>
      </c>
    </row>
    <row r="235" ht="15.75" hidden="1" customHeight="1">
      <c r="A235" s="1" t="s">
        <v>640</v>
      </c>
      <c r="B235" s="2">
        <v>65.0</v>
      </c>
      <c r="C235" s="1" t="s">
        <v>122</v>
      </c>
      <c r="D235" s="1" t="s">
        <v>641</v>
      </c>
      <c r="E235" s="3">
        <v>44418.0</v>
      </c>
      <c r="F235" s="1" t="s">
        <v>3</v>
      </c>
      <c r="G235" s="4">
        <v>2.19072201E8</v>
      </c>
      <c r="I235" s="2"/>
      <c r="J235" s="1" t="s">
        <v>124</v>
      </c>
      <c r="K235" s="1">
        <v>50.0</v>
      </c>
      <c r="L235" s="1"/>
      <c r="M235" s="5">
        <v>126.83</v>
      </c>
    </row>
    <row r="236" ht="15.75" hidden="1" customHeight="1">
      <c r="A236" s="1" t="s">
        <v>642</v>
      </c>
      <c r="B236" s="2">
        <v>78.0</v>
      </c>
      <c r="C236" s="1" t="s">
        <v>126</v>
      </c>
      <c r="D236" s="1" t="s">
        <v>643</v>
      </c>
      <c r="E236" s="3">
        <v>44418.0</v>
      </c>
      <c r="F236" s="1" t="s">
        <v>3</v>
      </c>
      <c r="G236" s="4">
        <v>2.19072201E8</v>
      </c>
      <c r="I236" s="2"/>
      <c r="J236" s="1" t="s">
        <v>9</v>
      </c>
      <c r="K236" s="1">
        <v>5.0</v>
      </c>
      <c r="L236" s="1"/>
      <c r="M236" s="5">
        <v>139.19</v>
      </c>
    </row>
    <row r="237" ht="15.75" hidden="1" customHeight="1">
      <c r="A237" s="1" t="s">
        <v>644</v>
      </c>
      <c r="B237" s="2">
        <v>113.0</v>
      </c>
      <c r="C237" s="1" t="s">
        <v>126</v>
      </c>
      <c r="D237" s="1" t="s">
        <v>645</v>
      </c>
      <c r="E237" s="3">
        <v>44424.0</v>
      </c>
      <c r="F237" s="1" t="s">
        <v>3</v>
      </c>
      <c r="G237" s="4">
        <v>2.19072201E8</v>
      </c>
      <c r="H237" s="1" t="s">
        <v>646</v>
      </c>
      <c r="I237" s="2"/>
      <c r="J237" s="1" t="s">
        <v>647</v>
      </c>
      <c r="K237" s="1">
        <v>10.0</v>
      </c>
      <c r="L237" s="1"/>
      <c r="M237" s="5">
        <v>164.19</v>
      </c>
    </row>
    <row r="238" ht="15.75" hidden="1" customHeight="1">
      <c r="A238" s="1" t="s">
        <v>644</v>
      </c>
      <c r="B238" s="2">
        <v>113.0</v>
      </c>
      <c r="C238" s="1" t="s">
        <v>126</v>
      </c>
      <c r="D238" s="1" t="s">
        <v>645</v>
      </c>
      <c r="E238" s="3">
        <v>44424.0</v>
      </c>
      <c r="F238" s="1" t="s">
        <v>3</v>
      </c>
      <c r="G238" s="4">
        <v>2.19072201E8</v>
      </c>
      <c r="H238" s="1" t="s">
        <v>646</v>
      </c>
      <c r="I238" s="2"/>
      <c r="J238" s="1" t="s">
        <v>124</v>
      </c>
      <c r="K238" s="1">
        <v>1.0</v>
      </c>
      <c r="L238" s="1"/>
      <c r="M238" s="5">
        <v>149.19</v>
      </c>
    </row>
    <row r="239" ht="15.75" hidden="1" customHeight="1">
      <c r="A239" s="1" t="s">
        <v>648</v>
      </c>
      <c r="B239" s="2">
        <v>124.0</v>
      </c>
      <c r="C239" s="1" t="s">
        <v>122</v>
      </c>
      <c r="D239" s="1" t="s">
        <v>649</v>
      </c>
      <c r="E239" s="3">
        <v>44424.0</v>
      </c>
      <c r="F239" s="1" t="s">
        <v>3</v>
      </c>
      <c r="G239" s="4">
        <v>2.19072201E8</v>
      </c>
      <c r="H239" s="1" t="s">
        <v>646</v>
      </c>
      <c r="I239" s="2"/>
      <c r="J239" s="1" t="s">
        <v>124</v>
      </c>
      <c r="K239" s="1">
        <v>30.0</v>
      </c>
      <c r="L239" s="1"/>
      <c r="M239" s="5">
        <v>126.83</v>
      </c>
    </row>
    <row r="240" ht="15.75" hidden="1" customHeight="1">
      <c r="A240" s="1" t="s">
        <v>650</v>
      </c>
      <c r="B240" s="2">
        <v>164.0</v>
      </c>
      <c r="C240" s="1" t="s">
        <v>122</v>
      </c>
      <c r="D240" s="1" t="s">
        <v>651</v>
      </c>
      <c r="E240" s="3">
        <v>44461.0</v>
      </c>
      <c r="F240" s="1" t="s">
        <v>3</v>
      </c>
      <c r="G240" s="4">
        <v>2.19072201E8</v>
      </c>
      <c r="H240" s="1" t="s">
        <v>646</v>
      </c>
      <c r="I240" s="2"/>
      <c r="J240" s="1" t="s">
        <v>124</v>
      </c>
      <c r="K240" s="1">
        <v>50.0</v>
      </c>
      <c r="L240" s="1"/>
      <c r="M240" s="5">
        <v>126.83</v>
      </c>
    </row>
    <row r="241" ht="15.75" hidden="1" customHeight="1">
      <c r="A241" s="1" t="s">
        <v>652</v>
      </c>
      <c r="B241" s="2">
        <v>362.0</v>
      </c>
      <c r="C241" s="1" t="s">
        <v>500</v>
      </c>
      <c r="D241" s="1" t="s">
        <v>653</v>
      </c>
      <c r="E241" s="3">
        <v>44719.0</v>
      </c>
      <c r="F241" s="1" t="s">
        <v>3</v>
      </c>
      <c r="G241" s="4">
        <v>2.19072221E8</v>
      </c>
      <c r="H241" s="1" t="s">
        <v>654</v>
      </c>
      <c r="I241" s="2"/>
      <c r="J241" s="1" t="s">
        <v>416</v>
      </c>
      <c r="K241" s="1">
        <v>15.0</v>
      </c>
      <c r="L241" s="1"/>
      <c r="M241" s="5">
        <v>159.19</v>
      </c>
    </row>
    <row r="242" ht="15.75" hidden="1" customHeight="1">
      <c r="A242" s="1" t="s">
        <v>655</v>
      </c>
      <c r="B242" s="2">
        <v>366.0</v>
      </c>
      <c r="C242" s="1" t="s">
        <v>122</v>
      </c>
      <c r="D242" s="1" t="s">
        <v>656</v>
      </c>
      <c r="E242" s="3">
        <v>44722.0</v>
      </c>
      <c r="F242" s="1" t="s">
        <v>3</v>
      </c>
      <c r="G242" s="4">
        <v>2.19072221E8</v>
      </c>
      <c r="H242" s="1" t="s">
        <v>654</v>
      </c>
      <c r="I242" s="2"/>
      <c r="J242" s="1" t="s">
        <v>124</v>
      </c>
      <c r="K242" s="1">
        <v>20.0</v>
      </c>
      <c r="L242" s="1"/>
      <c r="M242" s="5">
        <v>131.07</v>
      </c>
    </row>
    <row r="243" ht="15.75" hidden="1" customHeight="1">
      <c r="A243" s="1" t="s">
        <v>657</v>
      </c>
      <c r="B243" s="2">
        <v>373.0</v>
      </c>
      <c r="C243" s="1" t="s">
        <v>286</v>
      </c>
      <c r="D243" s="1" t="s">
        <v>658</v>
      </c>
      <c r="E243" s="3">
        <v>44732.0</v>
      </c>
      <c r="F243" s="1" t="s">
        <v>3</v>
      </c>
      <c r="G243" s="4">
        <v>2.19072221E8</v>
      </c>
      <c r="H243" s="1" t="s">
        <v>654</v>
      </c>
      <c r="I243" s="2"/>
      <c r="J243" s="1" t="s">
        <v>124</v>
      </c>
      <c r="K243" s="1">
        <v>150.0</v>
      </c>
      <c r="L243" s="1"/>
      <c r="M243" s="5">
        <v>105.0</v>
      </c>
    </row>
    <row r="244" ht="15.75" hidden="1" customHeight="1">
      <c r="A244" s="1" t="s">
        <v>659</v>
      </c>
      <c r="B244" s="2">
        <v>374.0</v>
      </c>
      <c r="C244" s="1" t="s">
        <v>219</v>
      </c>
      <c r="D244" s="1" t="s">
        <v>660</v>
      </c>
      <c r="E244" s="3">
        <v>44734.0</v>
      </c>
      <c r="F244" s="1" t="s">
        <v>3</v>
      </c>
      <c r="G244" s="4">
        <v>2.19072221E8</v>
      </c>
      <c r="H244" s="1" t="s">
        <v>654</v>
      </c>
      <c r="I244" s="2"/>
      <c r="J244" s="1" t="s">
        <v>124</v>
      </c>
      <c r="K244" s="1">
        <v>100.0</v>
      </c>
      <c r="L244" s="1"/>
      <c r="M244" s="5">
        <v>100.0</v>
      </c>
    </row>
    <row r="245" ht="15.75" hidden="1" customHeight="1">
      <c r="A245" s="1" t="s">
        <v>661</v>
      </c>
      <c r="B245" s="2">
        <v>375.0</v>
      </c>
      <c r="C245" s="1" t="s">
        <v>219</v>
      </c>
      <c r="D245" s="1" t="s">
        <v>662</v>
      </c>
      <c r="E245" s="3">
        <v>44734.0</v>
      </c>
      <c r="F245" s="1" t="s">
        <v>3</v>
      </c>
      <c r="G245" s="4">
        <v>2.19072221E8</v>
      </c>
      <c r="H245" s="1" t="s">
        <v>654</v>
      </c>
      <c r="I245" s="2"/>
      <c r="J245" s="1" t="s">
        <v>124</v>
      </c>
      <c r="K245" s="1">
        <v>50.0</v>
      </c>
      <c r="L245" s="1"/>
      <c r="M245" s="5">
        <v>100.0</v>
      </c>
    </row>
    <row r="246" ht="15.75" hidden="1" customHeight="1">
      <c r="A246" s="1" t="s">
        <v>663</v>
      </c>
      <c r="B246" s="2">
        <v>376.0</v>
      </c>
      <c r="C246" s="1" t="s">
        <v>664</v>
      </c>
      <c r="D246" s="1" t="s">
        <v>665</v>
      </c>
      <c r="E246" s="3">
        <v>44734.0</v>
      </c>
      <c r="F246" s="1" t="s">
        <v>3</v>
      </c>
      <c r="G246" s="4">
        <v>2.19072221E8</v>
      </c>
      <c r="H246" s="1" t="s">
        <v>654</v>
      </c>
      <c r="I246" s="2"/>
      <c r="J246" s="1" t="s">
        <v>9</v>
      </c>
      <c r="K246" s="1">
        <v>5.0</v>
      </c>
      <c r="L246" s="1"/>
      <c r="M246" s="5">
        <v>149.46</v>
      </c>
    </row>
    <row r="247" ht="15.75" hidden="1" customHeight="1">
      <c r="A247" s="1" t="s">
        <v>666</v>
      </c>
      <c r="B247" s="2">
        <v>378.0</v>
      </c>
      <c r="C247" s="1" t="s">
        <v>27</v>
      </c>
      <c r="D247" s="1" t="s">
        <v>667</v>
      </c>
      <c r="E247" s="3">
        <v>44734.0</v>
      </c>
      <c r="F247" s="1" t="s">
        <v>3</v>
      </c>
      <c r="G247" s="4">
        <v>2.19072221E8</v>
      </c>
      <c r="H247" s="1" t="s">
        <v>654</v>
      </c>
      <c r="I247" s="2"/>
      <c r="J247" s="1" t="s">
        <v>124</v>
      </c>
      <c r="K247" s="1">
        <v>500.0</v>
      </c>
      <c r="L247" s="1"/>
      <c r="M247" s="5">
        <v>107.38</v>
      </c>
    </row>
    <row r="248" ht="15.75" hidden="1" customHeight="1">
      <c r="A248" s="1" t="s">
        <v>666</v>
      </c>
      <c r="B248" s="2">
        <v>378.0</v>
      </c>
      <c r="C248" s="1" t="s">
        <v>27</v>
      </c>
      <c r="D248" s="1" t="s">
        <v>667</v>
      </c>
      <c r="E248" s="3">
        <v>44734.0</v>
      </c>
      <c r="F248" s="1" t="s">
        <v>3</v>
      </c>
      <c r="G248" s="4">
        <v>2.19072221E8</v>
      </c>
      <c r="H248" s="1" t="s">
        <v>654</v>
      </c>
      <c r="I248" s="2"/>
      <c r="J248" s="1" t="s">
        <v>9</v>
      </c>
      <c r="K248" s="1">
        <v>7.0</v>
      </c>
      <c r="L248" s="1"/>
      <c r="M248" s="5">
        <v>109.09</v>
      </c>
    </row>
    <row r="249" ht="15.75" hidden="1" customHeight="1">
      <c r="A249" s="1" t="s">
        <v>668</v>
      </c>
      <c r="B249" s="2">
        <v>379.0</v>
      </c>
      <c r="C249" s="1" t="s">
        <v>50</v>
      </c>
      <c r="D249" s="1" t="s">
        <v>669</v>
      </c>
      <c r="E249" s="3">
        <v>44734.0</v>
      </c>
      <c r="F249" s="1" t="s">
        <v>3</v>
      </c>
      <c r="G249" s="4">
        <v>2.19072221E8</v>
      </c>
      <c r="H249" s="1" t="s">
        <v>654</v>
      </c>
      <c r="I249" s="2"/>
      <c r="J249" s="1" t="s">
        <v>9</v>
      </c>
      <c r="K249" s="1">
        <v>100.0</v>
      </c>
      <c r="L249" s="1"/>
      <c r="M249" s="5">
        <v>170.0</v>
      </c>
    </row>
    <row r="250" ht="15.75" hidden="1" customHeight="1">
      <c r="A250" s="1" t="s">
        <v>670</v>
      </c>
      <c r="B250" s="2">
        <v>385.0</v>
      </c>
      <c r="C250" s="1" t="s">
        <v>472</v>
      </c>
      <c r="D250" s="1" t="s">
        <v>671</v>
      </c>
      <c r="E250" s="3">
        <v>44746.0</v>
      </c>
      <c r="F250" s="1" t="s">
        <v>3</v>
      </c>
      <c r="G250" s="4">
        <v>2.19072221E8</v>
      </c>
      <c r="H250" s="1" t="s">
        <v>654</v>
      </c>
      <c r="I250" s="2"/>
      <c r="J250" s="1" t="s">
        <v>9</v>
      </c>
      <c r="K250" s="1">
        <v>150.0</v>
      </c>
      <c r="L250" s="1"/>
      <c r="M250" s="5">
        <v>103.0</v>
      </c>
    </row>
    <row r="251" ht="15.75" hidden="1" customHeight="1">
      <c r="A251" s="1" t="s">
        <v>672</v>
      </c>
      <c r="B251" s="2">
        <v>387.0</v>
      </c>
      <c r="C251" s="1" t="s">
        <v>126</v>
      </c>
      <c r="D251" s="1" t="s">
        <v>673</v>
      </c>
      <c r="E251" s="3">
        <v>44760.0</v>
      </c>
      <c r="F251" s="1" t="s">
        <v>3</v>
      </c>
      <c r="G251" s="4">
        <v>2.19072221E8</v>
      </c>
      <c r="H251" s="1" t="s">
        <v>654</v>
      </c>
      <c r="I251" s="2"/>
      <c r="J251" s="1" t="s">
        <v>124</v>
      </c>
      <c r="K251" s="1">
        <v>1.0</v>
      </c>
      <c r="L251" s="1"/>
      <c r="M251" s="5">
        <v>149.19</v>
      </c>
    </row>
    <row r="252" ht="15.75" hidden="1" customHeight="1">
      <c r="A252" s="1" t="s">
        <v>674</v>
      </c>
      <c r="B252" s="2">
        <v>388.0</v>
      </c>
      <c r="C252" s="1" t="s">
        <v>675</v>
      </c>
      <c r="D252" s="1" t="s">
        <v>676</v>
      </c>
      <c r="E252" s="3">
        <v>44760.0</v>
      </c>
      <c r="F252" s="1" t="s">
        <v>3</v>
      </c>
      <c r="G252" s="4">
        <v>2.19072221E8</v>
      </c>
      <c r="H252" s="1" t="s">
        <v>654</v>
      </c>
      <c r="I252" s="2"/>
      <c r="J252" s="1" t="s">
        <v>633</v>
      </c>
      <c r="K252" s="1">
        <v>25.0</v>
      </c>
      <c r="L252" s="1"/>
      <c r="M252" s="5">
        <v>136.88</v>
      </c>
    </row>
    <row r="253" ht="15.75" hidden="1" customHeight="1">
      <c r="A253" s="1" t="s">
        <v>677</v>
      </c>
      <c r="B253" s="2">
        <v>389.0</v>
      </c>
      <c r="C253" s="1" t="s">
        <v>362</v>
      </c>
      <c r="D253" s="1" t="s">
        <v>678</v>
      </c>
      <c r="E253" s="3">
        <v>44760.0</v>
      </c>
      <c r="F253" s="1" t="s">
        <v>3</v>
      </c>
      <c r="G253" s="4">
        <v>2.19072221E8</v>
      </c>
      <c r="H253" s="1" t="s">
        <v>654</v>
      </c>
      <c r="I253" s="2"/>
      <c r="J253" s="1" t="s">
        <v>124</v>
      </c>
      <c r="K253" s="1">
        <v>25.0</v>
      </c>
      <c r="L253" s="1"/>
      <c r="M253" s="5">
        <v>135.0</v>
      </c>
    </row>
    <row r="254" ht="15.75" hidden="1" customHeight="1">
      <c r="A254" s="1" t="s">
        <v>679</v>
      </c>
      <c r="B254" s="2">
        <v>391.0</v>
      </c>
      <c r="C254" s="1" t="s">
        <v>680</v>
      </c>
      <c r="D254" s="1" t="s">
        <v>681</v>
      </c>
      <c r="E254" s="3">
        <v>44763.0</v>
      </c>
      <c r="F254" s="1" t="s">
        <v>3</v>
      </c>
      <c r="G254" s="4">
        <v>2.19072221E8</v>
      </c>
      <c r="H254" s="1" t="s">
        <v>654</v>
      </c>
      <c r="I254" s="2"/>
      <c r="J254" s="1" t="s">
        <v>124</v>
      </c>
      <c r="K254" s="1">
        <v>50.0</v>
      </c>
      <c r="L254" s="1"/>
      <c r="M254" s="5">
        <v>130.65</v>
      </c>
    </row>
    <row r="255" ht="15.75" hidden="1" customHeight="1">
      <c r="A255" s="1" t="s">
        <v>682</v>
      </c>
      <c r="B255" s="2">
        <v>393.0</v>
      </c>
      <c r="C255" s="1" t="s">
        <v>683</v>
      </c>
      <c r="D255" s="1" t="s">
        <v>684</v>
      </c>
      <c r="E255" s="3">
        <v>44767.0</v>
      </c>
      <c r="F255" s="1" t="s">
        <v>3</v>
      </c>
      <c r="G255" s="4">
        <v>2.19072221E8</v>
      </c>
      <c r="H255" s="1" t="s">
        <v>654</v>
      </c>
      <c r="I255" s="2"/>
      <c r="J255" s="1" t="s">
        <v>9</v>
      </c>
      <c r="K255" s="1">
        <v>50.0</v>
      </c>
      <c r="L255" s="1"/>
      <c r="M255" s="5">
        <v>142.5</v>
      </c>
    </row>
    <row r="256" ht="15.75" hidden="1" customHeight="1">
      <c r="A256" s="1" t="s">
        <v>685</v>
      </c>
      <c r="B256" s="2">
        <v>395.0</v>
      </c>
      <c r="C256" s="1" t="s">
        <v>27</v>
      </c>
      <c r="D256" s="1" t="s">
        <v>686</v>
      </c>
      <c r="E256" s="3">
        <v>44769.0</v>
      </c>
      <c r="F256" s="1" t="s">
        <v>3</v>
      </c>
      <c r="G256" s="4">
        <v>2.19072221E8</v>
      </c>
      <c r="H256" s="1" t="s">
        <v>654</v>
      </c>
      <c r="I256" s="2"/>
      <c r="J256" s="1" t="s">
        <v>9</v>
      </c>
      <c r="K256" s="1">
        <v>7.0</v>
      </c>
      <c r="L256" s="1"/>
      <c r="M256" s="5">
        <v>121.93</v>
      </c>
    </row>
    <row r="257" ht="15.75" hidden="1" customHeight="1">
      <c r="A257" s="1" t="s">
        <v>687</v>
      </c>
      <c r="B257" s="2">
        <v>396.0</v>
      </c>
      <c r="C257" s="1" t="s">
        <v>286</v>
      </c>
      <c r="D257" s="1" t="s">
        <v>688</v>
      </c>
      <c r="E257" s="3">
        <v>44775.0</v>
      </c>
      <c r="F257" s="1" t="s">
        <v>3</v>
      </c>
      <c r="G257" s="4">
        <v>2.19072221E8</v>
      </c>
      <c r="H257" s="1" t="s">
        <v>654</v>
      </c>
      <c r="I257" s="2"/>
      <c r="J257" s="1" t="s">
        <v>124</v>
      </c>
      <c r="K257" s="1">
        <v>200.0</v>
      </c>
      <c r="L257" s="1"/>
      <c r="M257" s="5">
        <v>105.0</v>
      </c>
    </row>
    <row r="258" ht="15.75" hidden="1" customHeight="1">
      <c r="A258" s="1" t="s">
        <v>689</v>
      </c>
      <c r="B258" s="2">
        <v>399.0</v>
      </c>
      <c r="C258" s="1" t="s">
        <v>680</v>
      </c>
      <c r="D258" s="1" t="s">
        <v>690</v>
      </c>
      <c r="E258" s="3">
        <v>44781.0</v>
      </c>
      <c r="F258" s="1" t="s">
        <v>3</v>
      </c>
      <c r="G258" s="4">
        <v>2.19072221E8</v>
      </c>
      <c r="H258" s="1" t="s">
        <v>654</v>
      </c>
      <c r="I258" s="2"/>
      <c r="J258" s="1" t="s">
        <v>124</v>
      </c>
      <c r="K258" s="1">
        <v>50.0</v>
      </c>
      <c r="L258" s="1"/>
      <c r="M258" s="5">
        <v>130.65</v>
      </c>
    </row>
    <row r="259" ht="15.75" hidden="1" customHeight="1">
      <c r="A259" s="1" t="s">
        <v>691</v>
      </c>
      <c r="B259" s="2">
        <v>401.0</v>
      </c>
      <c r="C259" s="1" t="s">
        <v>169</v>
      </c>
      <c r="D259" s="1" t="s">
        <v>692</v>
      </c>
      <c r="E259" s="3">
        <v>44783.0</v>
      </c>
      <c r="F259" s="1" t="s">
        <v>3</v>
      </c>
      <c r="G259" s="4">
        <v>2.19072221E8</v>
      </c>
      <c r="H259" s="1" t="s">
        <v>654</v>
      </c>
      <c r="I259" s="2"/>
      <c r="J259" s="1" t="s">
        <v>9</v>
      </c>
      <c r="K259" s="1">
        <v>40.0</v>
      </c>
      <c r="L259" s="1"/>
      <c r="M259" s="5">
        <v>119.65</v>
      </c>
    </row>
    <row r="260" ht="15.75" hidden="1" customHeight="1">
      <c r="A260" s="1" t="s">
        <v>693</v>
      </c>
      <c r="B260" s="2">
        <v>410.0</v>
      </c>
      <c r="C260" s="1" t="s">
        <v>399</v>
      </c>
      <c r="D260" s="1" t="s">
        <v>694</v>
      </c>
      <c r="E260" s="3">
        <v>44792.0</v>
      </c>
      <c r="F260" s="1" t="s">
        <v>3</v>
      </c>
      <c r="G260" s="4">
        <v>2.19072221E8</v>
      </c>
      <c r="H260" s="1" t="s">
        <v>654</v>
      </c>
      <c r="I260" s="2"/>
      <c r="J260" s="1" t="s">
        <v>9</v>
      </c>
      <c r="K260" s="1">
        <v>100.0</v>
      </c>
      <c r="L260" s="1"/>
      <c r="M260" s="5">
        <v>170.0</v>
      </c>
    </row>
    <row r="261" ht="15.75" hidden="1" customHeight="1">
      <c r="A261" s="1" t="s">
        <v>695</v>
      </c>
      <c r="B261" s="2">
        <v>413.0</v>
      </c>
      <c r="C261" s="1" t="s">
        <v>518</v>
      </c>
      <c r="D261" s="1" t="s">
        <v>696</v>
      </c>
      <c r="E261" s="3">
        <v>44802.0</v>
      </c>
      <c r="F261" s="1" t="s">
        <v>3</v>
      </c>
      <c r="G261" s="4">
        <v>2.19072221E8</v>
      </c>
      <c r="H261" s="1" t="s">
        <v>654</v>
      </c>
      <c r="I261" s="2"/>
      <c r="J261" s="1" t="s">
        <v>124</v>
      </c>
      <c r="K261" s="1">
        <v>5.0</v>
      </c>
      <c r="L261" s="1"/>
      <c r="M261" s="5">
        <v>135.34</v>
      </c>
    </row>
    <row r="262" ht="15.75" hidden="1" customHeight="1">
      <c r="A262" s="1" t="s">
        <v>697</v>
      </c>
      <c r="B262" s="2">
        <v>418.0</v>
      </c>
      <c r="C262" s="1" t="s">
        <v>513</v>
      </c>
      <c r="D262" s="1" t="s">
        <v>698</v>
      </c>
      <c r="E262" s="3">
        <v>44806.0</v>
      </c>
      <c r="F262" s="1" t="s">
        <v>3</v>
      </c>
      <c r="G262" s="4">
        <v>2.19072221E8</v>
      </c>
      <c r="H262" s="1" t="s">
        <v>654</v>
      </c>
      <c r="I262" s="2"/>
      <c r="J262" s="1" t="s">
        <v>124</v>
      </c>
      <c r="K262" s="1">
        <v>20.0</v>
      </c>
      <c r="L262" s="1"/>
      <c r="M262" s="5">
        <v>158.42</v>
      </c>
    </row>
    <row r="263" ht="15.75" hidden="1" customHeight="1">
      <c r="A263" s="1" t="s">
        <v>699</v>
      </c>
      <c r="B263" s="2">
        <v>419.0</v>
      </c>
      <c r="C263" s="1" t="s">
        <v>27</v>
      </c>
      <c r="D263" s="1" t="s">
        <v>700</v>
      </c>
      <c r="E263" s="3">
        <v>44809.0</v>
      </c>
      <c r="F263" s="1" t="s">
        <v>3</v>
      </c>
      <c r="G263" s="4">
        <v>2.19072221E8</v>
      </c>
      <c r="H263" s="1" t="s">
        <v>654</v>
      </c>
      <c r="I263" s="2"/>
      <c r="J263" s="1" t="s">
        <v>9</v>
      </c>
      <c r="K263" s="1">
        <v>17.0</v>
      </c>
      <c r="L263" s="1"/>
      <c r="M263" s="5">
        <v>122.1</v>
      </c>
    </row>
    <row r="264" ht="15.75" hidden="1" customHeight="1">
      <c r="A264" s="1" t="s">
        <v>701</v>
      </c>
      <c r="B264" s="2">
        <v>425.0</v>
      </c>
      <c r="C264" s="1" t="s">
        <v>488</v>
      </c>
      <c r="D264" s="1" t="s">
        <v>702</v>
      </c>
      <c r="E264" s="3">
        <v>44812.0</v>
      </c>
      <c r="F264" s="1" t="s">
        <v>3</v>
      </c>
      <c r="G264" s="4">
        <v>2.19072221E8</v>
      </c>
      <c r="H264" s="1" t="s">
        <v>654</v>
      </c>
      <c r="I264" s="2"/>
      <c r="J264" s="1" t="s">
        <v>16</v>
      </c>
      <c r="K264" s="1">
        <v>5.0</v>
      </c>
      <c r="L264" s="1"/>
      <c r="M264" s="5">
        <v>105.0</v>
      </c>
    </row>
    <row r="265" ht="15.75" hidden="1" customHeight="1">
      <c r="A265" s="1" t="s">
        <v>703</v>
      </c>
      <c r="B265" s="2">
        <v>428.0</v>
      </c>
      <c r="C265" s="1" t="s">
        <v>680</v>
      </c>
      <c r="D265" s="1" t="s">
        <v>704</v>
      </c>
      <c r="E265" s="3">
        <v>44812.0</v>
      </c>
      <c r="F265" s="1" t="s">
        <v>3</v>
      </c>
      <c r="G265" s="4">
        <v>2.19072221E8</v>
      </c>
      <c r="H265" s="1" t="s">
        <v>654</v>
      </c>
      <c r="I265" s="2"/>
      <c r="J265" s="1" t="s">
        <v>16</v>
      </c>
      <c r="K265" s="1">
        <v>10.0</v>
      </c>
      <c r="L265" s="1"/>
      <c r="M265" s="5">
        <v>122.79</v>
      </c>
    </row>
    <row r="266" ht="15.75" hidden="1" customHeight="1">
      <c r="A266" s="1" t="s">
        <v>705</v>
      </c>
      <c r="B266" s="2">
        <v>443.0</v>
      </c>
      <c r="C266" s="1" t="s">
        <v>706</v>
      </c>
      <c r="D266" s="1" t="s">
        <v>707</v>
      </c>
      <c r="E266" s="3">
        <v>44846.0</v>
      </c>
      <c r="F266" s="1" t="s">
        <v>3</v>
      </c>
      <c r="G266" s="4">
        <v>2.19072221E8</v>
      </c>
      <c r="H266" s="1" t="s">
        <v>654</v>
      </c>
      <c r="I266" s="2"/>
      <c r="J266" s="1" t="s">
        <v>124</v>
      </c>
      <c r="K266" s="1">
        <v>10.0</v>
      </c>
      <c r="L266" s="1"/>
      <c r="M266" s="5">
        <v>165.0</v>
      </c>
    </row>
    <row r="267" ht="15.75" hidden="1" customHeight="1">
      <c r="A267" s="1" t="s">
        <v>708</v>
      </c>
      <c r="B267" s="2">
        <v>471.0</v>
      </c>
      <c r="C267" s="1" t="s">
        <v>709</v>
      </c>
      <c r="D267" s="1" t="s">
        <v>710</v>
      </c>
      <c r="E267" s="3">
        <v>44872.0</v>
      </c>
      <c r="F267" s="1" t="s">
        <v>3</v>
      </c>
      <c r="G267" s="4">
        <v>2.19072221E8</v>
      </c>
      <c r="H267" s="1" t="s">
        <v>654</v>
      </c>
      <c r="I267" s="2"/>
      <c r="J267" s="1" t="s">
        <v>124</v>
      </c>
      <c r="K267" s="1">
        <v>3.5</v>
      </c>
      <c r="L267" s="1"/>
      <c r="M267" s="5">
        <v>2879.0</v>
      </c>
    </row>
    <row r="268" ht="15.75" hidden="1" customHeight="1">
      <c r="A268" s="1" t="s">
        <v>711</v>
      </c>
      <c r="B268" s="2">
        <v>476.0</v>
      </c>
      <c r="C268" s="1" t="s">
        <v>461</v>
      </c>
      <c r="D268" s="1" t="s">
        <v>712</v>
      </c>
      <c r="E268" s="3">
        <v>44883.0</v>
      </c>
      <c r="F268" s="1" t="s">
        <v>3</v>
      </c>
      <c r="G268" s="4">
        <v>2.19072221E8</v>
      </c>
      <c r="H268" s="1" t="s">
        <v>654</v>
      </c>
      <c r="I268" s="2"/>
      <c r="J268" s="1" t="s">
        <v>124</v>
      </c>
      <c r="K268" s="1">
        <v>5.0</v>
      </c>
      <c r="L268" s="1"/>
      <c r="M268" s="5">
        <v>128.09</v>
      </c>
    </row>
    <row r="269" ht="15.75" hidden="1" customHeight="1">
      <c r="A269" s="1" t="s">
        <v>713</v>
      </c>
      <c r="B269" s="2">
        <v>520.0</v>
      </c>
      <c r="C269" s="1" t="s">
        <v>488</v>
      </c>
      <c r="D269" s="1" t="s">
        <v>714</v>
      </c>
      <c r="E269" s="3">
        <v>44981.0</v>
      </c>
      <c r="F269" s="1" t="s">
        <v>3</v>
      </c>
      <c r="G269" s="4">
        <v>2.19072221E8</v>
      </c>
      <c r="H269" s="1" t="s">
        <v>654</v>
      </c>
      <c r="I269" s="2"/>
      <c r="J269" s="1" t="s">
        <v>16</v>
      </c>
      <c r="K269" s="1">
        <v>5.0</v>
      </c>
      <c r="L269" s="1"/>
      <c r="M269" s="5">
        <v>110.53</v>
      </c>
    </row>
    <row r="270" ht="15.75" hidden="1" customHeight="1">
      <c r="A270" s="1" t="s">
        <v>715</v>
      </c>
      <c r="B270" s="2">
        <v>641.0</v>
      </c>
      <c r="C270" s="1" t="s">
        <v>680</v>
      </c>
      <c r="D270" s="1" t="s">
        <v>716</v>
      </c>
      <c r="E270" s="1" t="s">
        <v>60</v>
      </c>
      <c r="F270" s="1" t="s">
        <v>3</v>
      </c>
      <c r="G270" s="4">
        <v>2.19072221E8</v>
      </c>
      <c r="H270" s="1" t="s">
        <v>654</v>
      </c>
      <c r="I270" s="2"/>
      <c r="J270" s="1" t="s">
        <v>124</v>
      </c>
      <c r="K270" s="1">
        <v>10.0</v>
      </c>
      <c r="L270" s="1"/>
      <c r="M270" s="5">
        <v>122.79</v>
      </c>
    </row>
    <row r="271" ht="15.75" hidden="1" customHeight="1">
      <c r="A271" s="1" t="s">
        <v>717</v>
      </c>
      <c r="B271" s="2">
        <v>643.0</v>
      </c>
      <c r="C271" s="1" t="s">
        <v>709</v>
      </c>
      <c r="D271" s="1" t="s">
        <v>718</v>
      </c>
      <c r="E271" s="1" t="s">
        <v>60</v>
      </c>
      <c r="F271" s="1" t="s">
        <v>719</v>
      </c>
      <c r="G271" s="4">
        <v>2.19072221E8</v>
      </c>
      <c r="H271" s="1" t="s">
        <v>654</v>
      </c>
      <c r="I271" s="2"/>
      <c r="J271" s="1" t="s">
        <v>124</v>
      </c>
      <c r="K271" s="1">
        <v>3.5</v>
      </c>
      <c r="L271" s="1"/>
      <c r="M271" s="5">
        <v>2879.0</v>
      </c>
    </row>
    <row r="272" ht="15.75" hidden="1" customHeight="1">
      <c r="A272" s="1" t="s">
        <v>720</v>
      </c>
      <c r="B272" s="2">
        <v>648.0</v>
      </c>
      <c r="C272" s="1" t="s">
        <v>488</v>
      </c>
      <c r="D272" s="1" t="s">
        <v>721</v>
      </c>
      <c r="E272" s="3">
        <v>44811.0</v>
      </c>
      <c r="F272" s="1" t="s">
        <v>3</v>
      </c>
      <c r="G272" s="4">
        <v>2.19072221E8</v>
      </c>
      <c r="H272" s="1" t="s">
        <v>654</v>
      </c>
      <c r="I272" s="2"/>
      <c r="J272" s="1" t="s">
        <v>16</v>
      </c>
      <c r="K272" s="1">
        <v>3.0</v>
      </c>
      <c r="L272" s="1"/>
      <c r="M272" s="5">
        <v>108.0</v>
      </c>
    </row>
    <row r="273" ht="15.75" hidden="1" customHeight="1">
      <c r="A273" s="1" t="s">
        <v>722</v>
      </c>
      <c r="B273" s="2">
        <v>349.0</v>
      </c>
      <c r="C273" s="1" t="s">
        <v>426</v>
      </c>
      <c r="D273" s="1" t="s">
        <v>723</v>
      </c>
      <c r="E273" s="3">
        <v>44708.0</v>
      </c>
      <c r="F273" s="1" t="s">
        <v>3</v>
      </c>
      <c r="G273" s="4">
        <v>2.19073221E8</v>
      </c>
      <c r="H273" s="1" t="s">
        <v>724</v>
      </c>
      <c r="I273" s="2"/>
      <c r="J273" s="1" t="s">
        <v>124</v>
      </c>
      <c r="K273" s="1">
        <v>720.0</v>
      </c>
      <c r="L273" s="1"/>
      <c r="M273" s="5">
        <v>37.0</v>
      </c>
    </row>
    <row r="274" ht="15.75" hidden="1" customHeight="1">
      <c r="A274" s="1" t="s">
        <v>725</v>
      </c>
      <c r="B274" s="2">
        <v>110.0</v>
      </c>
      <c r="C274" s="1" t="s">
        <v>491</v>
      </c>
      <c r="D274" s="1" t="s">
        <v>726</v>
      </c>
      <c r="E274" s="3">
        <v>44419.0</v>
      </c>
      <c r="F274" s="1" t="s">
        <v>86</v>
      </c>
      <c r="G274" s="4">
        <v>2.19076201E8</v>
      </c>
      <c r="H274" s="1" t="s">
        <v>727</v>
      </c>
      <c r="I274" s="2"/>
      <c r="J274" s="1" t="s">
        <v>124</v>
      </c>
      <c r="K274" s="1">
        <v>20.0</v>
      </c>
      <c r="L274" s="1"/>
      <c r="M274" s="5">
        <v>80.27</v>
      </c>
    </row>
    <row r="275" ht="15.75" hidden="1" customHeight="1">
      <c r="A275" s="1" t="s">
        <v>728</v>
      </c>
      <c r="B275" s="2">
        <v>353.0</v>
      </c>
      <c r="C275" s="1" t="s">
        <v>27</v>
      </c>
      <c r="D275" s="1" t="s">
        <v>729</v>
      </c>
      <c r="E275" s="3">
        <v>44708.0</v>
      </c>
      <c r="F275" s="1" t="s">
        <v>3</v>
      </c>
      <c r="G275" s="4">
        <v>2.19076221E8</v>
      </c>
      <c r="H275" s="1" t="s">
        <v>730</v>
      </c>
      <c r="I275" s="2"/>
      <c r="J275" s="1" t="s">
        <v>531</v>
      </c>
      <c r="K275" s="1">
        <v>28.0</v>
      </c>
      <c r="L275" s="1"/>
      <c r="M275" s="5">
        <v>242.22</v>
      </c>
    </row>
    <row r="276" ht="15.75" hidden="1" customHeight="1">
      <c r="A276" s="1" t="s">
        <v>731</v>
      </c>
      <c r="B276" s="2">
        <v>363.0</v>
      </c>
      <c r="C276" s="1" t="s">
        <v>80</v>
      </c>
      <c r="D276" s="1" t="s">
        <v>732</v>
      </c>
      <c r="E276" s="3">
        <v>44720.0</v>
      </c>
      <c r="F276" s="1" t="s">
        <v>3</v>
      </c>
      <c r="G276" s="4">
        <v>2.19076221E8</v>
      </c>
      <c r="H276" s="1" t="s">
        <v>730</v>
      </c>
      <c r="I276" s="2"/>
      <c r="J276" s="1" t="s">
        <v>9</v>
      </c>
      <c r="K276" s="1">
        <v>600.0</v>
      </c>
      <c r="L276" s="1"/>
      <c r="M276" s="5">
        <v>105.72</v>
      </c>
    </row>
    <row r="277" ht="15.75" hidden="1" customHeight="1">
      <c r="A277" s="1" t="s">
        <v>733</v>
      </c>
      <c r="B277" s="2">
        <v>364.0</v>
      </c>
      <c r="C277" s="1" t="s">
        <v>680</v>
      </c>
      <c r="D277" s="1" t="s">
        <v>734</v>
      </c>
      <c r="E277" s="3">
        <v>44720.0</v>
      </c>
      <c r="F277" s="1" t="s">
        <v>3</v>
      </c>
      <c r="G277" s="4">
        <v>2.19076221E8</v>
      </c>
      <c r="H277" s="1" t="s">
        <v>730</v>
      </c>
      <c r="I277" s="2"/>
      <c r="J277" s="1" t="s">
        <v>124</v>
      </c>
      <c r="K277" s="1">
        <v>50.0</v>
      </c>
      <c r="L277" s="1"/>
      <c r="M277" s="5">
        <v>130.65</v>
      </c>
    </row>
    <row r="278" ht="15.75" hidden="1" customHeight="1">
      <c r="A278" s="1" t="s">
        <v>735</v>
      </c>
      <c r="B278" s="2">
        <v>365.0</v>
      </c>
      <c r="C278" s="1" t="s">
        <v>47</v>
      </c>
      <c r="D278" s="1" t="s">
        <v>736</v>
      </c>
      <c r="E278" s="3">
        <v>44720.0</v>
      </c>
      <c r="F278" s="1" t="s">
        <v>3</v>
      </c>
      <c r="G278" s="4">
        <v>2.19076221E8</v>
      </c>
      <c r="H278" s="1" t="s">
        <v>730</v>
      </c>
      <c r="I278" s="2"/>
      <c r="J278" s="1" t="s">
        <v>9</v>
      </c>
      <c r="K278" s="1">
        <v>10.0</v>
      </c>
      <c r="L278" s="1"/>
      <c r="M278" s="5">
        <v>115.0</v>
      </c>
    </row>
    <row r="279" ht="15.75" hidden="1" customHeight="1">
      <c r="A279" s="1" t="s">
        <v>737</v>
      </c>
      <c r="B279" s="2">
        <v>367.0</v>
      </c>
      <c r="C279" s="1" t="s">
        <v>27</v>
      </c>
      <c r="D279" s="1" t="s">
        <v>738</v>
      </c>
      <c r="E279" s="3">
        <v>44725.0</v>
      </c>
      <c r="F279" s="1" t="s">
        <v>3</v>
      </c>
      <c r="G279" s="4">
        <v>2.19076221E8</v>
      </c>
      <c r="H279" s="1" t="s">
        <v>730</v>
      </c>
      <c r="I279" s="2"/>
      <c r="J279" s="1" t="s">
        <v>124</v>
      </c>
      <c r="K279" s="1">
        <v>100.0</v>
      </c>
      <c r="L279" s="1"/>
      <c r="M279" s="5">
        <v>120.22</v>
      </c>
    </row>
    <row r="280" ht="15.75" hidden="1" customHeight="1">
      <c r="A280" s="1" t="s">
        <v>739</v>
      </c>
      <c r="B280" s="2">
        <v>369.0</v>
      </c>
      <c r="C280" s="1" t="s">
        <v>449</v>
      </c>
      <c r="D280" s="1" t="s">
        <v>740</v>
      </c>
      <c r="E280" s="3">
        <v>44725.0</v>
      </c>
      <c r="F280" s="1" t="s">
        <v>3</v>
      </c>
      <c r="G280" s="4">
        <v>2.19076221E8</v>
      </c>
      <c r="H280" s="1" t="s">
        <v>730</v>
      </c>
      <c r="I280" s="2"/>
      <c r="J280" s="1" t="s">
        <v>9</v>
      </c>
      <c r="K280" s="1">
        <v>125.0</v>
      </c>
      <c r="L280" s="1"/>
      <c r="M280" s="5">
        <v>100.0</v>
      </c>
    </row>
    <row r="281" ht="15.75" hidden="1" customHeight="1">
      <c r="A281" s="1" t="s">
        <v>741</v>
      </c>
      <c r="B281" s="2">
        <v>371.0</v>
      </c>
      <c r="C281" s="1" t="s">
        <v>282</v>
      </c>
      <c r="D281" s="1" t="s">
        <v>742</v>
      </c>
      <c r="E281" s="3">
        <v>44729.0</v>
      </c>
      <c r="F281" s="1" t="s">
        <v>3</v>
      </c>
      <c r="G281" s="4">
        <v>2.19076221E8</v>
      </c>
      <c r="H281" s="1" t="s">
        <v>730</v>
      </c>
      <c r="I281" s="2"/>
      <c r="J281" s="1" t="s">
        <v>124</v>
      </c>
      <c r="K281" s="1">
        <v>20.0</v>
      </c>
      <c r="L281" s="1"/>
      <c r="M281" s="5">
        <v>114.92</v>
      </c>
    </row>
    <row r="282" ht="15.75" hidden="1" customHeight="1">
      <c r="A282" s="1" t="s">
        <v>743</v>
      </c>
      <c r="B282" s="2">
        <v>372.0</v>
      </c>
      <c r="C282" s="1" t="s">
        <v>482</v>
      </c>
      <c r="D282" s="1" t="s">
        <v>744</v>
      </c>
      <c r="E282" s="3">
        <v>44729.0</v>
      </c>
      <c r="F282" s="1" t="s">
        <v>3</v>
      </c>
      <c r="G282" s="4">
        <v>2.19076221E8</v>
      </c>
      <c r="H282" s="1" t="s">
        <v>730</v>
      </c>
      <c r="I282" s="2"/>
      <c r="J282" s="1" t="s">
        <v>9</v>
      </c>
      <c r="K282" s="1">
        <v>5.0</v>
      </c>
      <c r="L282" s="1"/>
      <c r="M282" s="5">
        <v>163.6</v>
      </c>
    </row>
    <row r="283" ht="15.75" hidden="1" customHeight="1">
      <c r="A283" s="1" t="s">
        <v>745</v>
      </c>
      <c r="B283" s="2">
        <v>377.0</v>
      </c>
      <c r="C283" s="1" t="s">
        <v>513</v>
      </c>
      <c r="D283" s="1" t="s">
        <v>746</v>
      </c>
      <c r="E283" s="3">
        <v>44734.0</v>
      </c>
      <c r="F283" s="1" t="s">
        <v>3</v>
      </c>
      <c r="G283" s="4">
        <v>2.19076221E8</v>
      </c>
      <c r="H283" s="1" t="s">
        <v>730</v>
      </c>
      <c r="I283" s="2"/>
      <c r="J283" s="1" t="s">
        <v>124</v>
      </c>
      <c r="K283" s="1">
        <v>20.0</v>
      </c>
      <c r="L283" s="1"/>
      <c r="M283" s="5">
        <v>158.42</v>
      </c>
    </row>
    <row r="284" ht="15.75" hidden="1" customHeight="1">
      <c r="A284" s="1" t="s">
        <v>747</v>
      </c>
      <c r="B284" s="2">
        <v>381.0</v>
      </c>
      <c r="C284" s="1" t="s">
        <v>748</v>
      </c>
      <c r="D284" s="1" t="s">
        <v>749</v>
      </c>
      <c r="E284" s="3">
        <v>44742.0</v>
      </c>
      <c r="F284" s="1" t="s">
        <v>3</v>
      </c>
      <c r="G284" s="4">
        <v>2.19076221E8</v>
      </c>
      <c r="H284" s="1" t="s">
        <v>730</v>
      </c>
      <c r="I284" s="2"/>
      <c r="J284" s="1" t="s">
        <v>440</v>
      </c>
      <c r="K284" s="1">
        <v>26.0</v>
      </c>
      <c r="L284" s="1"/>
      <c r="M284" s="5">
        <v>156.77</v>
      </c>
    </row>
    <row r="285" ht="15.75" hidden="1" customHeight="1">
      <c r="A285" s="1" t="s">
        <v>750</v>
      </c>
      <c r="B285" s="2">
        <v>382.0</v>
      </c>
      <c r="C285" s="1" t="s">
        <v>449</v>
      </c>
      <c r="D285" s="1" t="s">
        <v>751</v>
      </c>
      <c r="E285" s="3">
        <v>44746.0</v>
      </c>
      <c r="F285" s="1" t="s">
        <v>3</v>
      </c>
      <c r="G285" s="4">
        <v>2.19076221E8</v>
      </c>
      <c r="H285" s="1" t="s">
        <v>730</v>
      </c>
      <c r="I285" s="2"/>
      <c r="J285" s="1" t="s">
        <v>9</v>
      </c>
      <c r="K285" s="1">
        <v>125.0</v>
      </c>
      <c r="L285" s="1"/>
      <c r="M285" s="5">
        <v>100.0</v>
      </c>
    </row>
    <row r="286" ht="15.75" hidden="1" customHeight="1">
      <c r="A286" s="1" t="s">
        <v>752</v>
      </c>
      <c r="B286" s="2">
        <v>383.0</v>
      </c>
      <c r="C286" s="1" t="s">
        <v>706</v>
      </c>
      <c r="D286" s="1" t="s">
        <v>753</v>
      </c>
      <c r="E286" s="3">
        <v>44746.0</v>
      </c>
      <c r="F286" s="1" t="s">
        <v>3</v>
      </c>
      <c r="G286" s="4">
        <v>2.19076221E8</v>
      </c>
      <c r="H286" s="1" t="s">
        <v>730</v>
      </c>
      <c r="I286" s="2"/>
      <c r="J286" s="1" t="s">
        <v>124</v>
      </c>
      <c r="K286" s="1">
        <v>10.0</v>
      </c>
      <c r="L286" s="1"/>
      <c r="M286" s="5">
        <v>165.0</v>
      </c>
    </row>
    <row r="287" ht="15.75" hidden="1" customHeight="1">
      <c r="A287" s="1" t="s">
        <v>672</v>
      </c>
      <c r="B287" s="2">
        <v>387.0</v>
      </c>
      <c r="C287" s="1" t="s">
        <v>126</v>
      </c>
      <c r="D287" s="1" t="s">
        <v>673</v>
      </c>
      <c r="E287" s="3">
        <v>44760.0</v>
      </c>
      <c r="F287" s="1" t="s">
        <v>3</v>
      </c>
      <c r="G287" s="4">
        <v>2.19076221E8</v>
      </c>
      <c r="H287" s="1" t="s">
        <v>730</v>
      </c>
      <c r="I287" s="2"/>
      <c r="J287" s="1" t="s">
        <v>647</v>
      </c>
      <c r="K287" s="1">
        <v>5.0</v>
      </c>
      <c r="L287" s="1"/>
      <c r="M287" s="5">
        <v>164.19</v>
      </c>
    </row>
    <row r="288" ht="15.75" hidden="1" customHeight="1">
      <c r="A288" s="1" t="s">
        <v>754</v>
      </c>
      <c r="B288" s="2">
        <v>390.0</v>
      </c>
      <c r="C288" s="1" t="s">
        <v>449</v>
      </c>
      <c r="D288" s="1" t="s">
        <v>755</v>
      </c>
      <c r="E288" s="3">
        <v>44761.0</v>
      </c>
      <c r="F288" s="1" t="s">
        <v>3</v>
      </c>
      <c r="G288" s="4">
        <v>2.19076221E8</v>
      </c>
      <c r="H288" s="1" t="s">
        <v>730</v>
      </c>
      <c r="I288" s="2"/>
      <c r="J288" s="1" t="s">
        <v>9</v>
      </c>
      <c r="K288" s="1">
        <v>125.0</v>
      </c>
      <c r="L288" s="1"/>
      <c r="M288" s="5">
        <v>100.0</v>
      </c>
    </row>
    <row r="289" ht="15.75" hidden="1" customHeight="1">
      <c r="A289" s="1" t="s">
        <v>685</v>
      </c>
      <c r="B289" s="2">
        <v>395.0</v>
      </c>
      <c r="C289" s="1" t="s">
        <v>27</v>
      </c>
      <c r="D289" s="1" t="s">
        <v>686</v>
      </c>
      <c r="E289" s="3">
        <v>44769.0</v>
      </c>
      <c r="F289" s="1" t="s">
        <v>3</v>
      </c>
      <c r="G289" s="4">
        <v>2.19076221E8</v>
      </c>
      <c r="H289" s="1" t="s">
        <v>730</v>
      </c>
      <c r="I289" s="2"/>
      <c r="J289" s="1" t="s">
        <v>531</v>
      </c>
      <c r="K289" s="1">
        <v>25.0</v>
      </c>
      <c r="L289" s="1"/>
      <c r="M289" s="5">
        <v>242.22</v>
      </c>
    </row>
    <row r="290" ht="15.75" hidden="1" customHeight="1">
      <c r="A290" s="1" t="s">
        <v>756</v>
      </c>
      <c r="B290" s="2">
        <v>405.0</v>
      </c>
      <c r="C290" s="1" t="s">
        <v>255</v>
      </c>
      <c r="D290" s="1" t="s">
        <v>757</v>
      </c>
      <c r="E290" s="3">
        <v>44792.0</v>
      </c>
      <c r="F290" s="1" t="s">
        <v>3</v>
      </c>
      <c r="G290" s="4">
        <v>2.19076221E8</v>
      </c>
      <c r="H290" s="1" t="s">
        <v>730</v>
      </c>
      <c r="I290" s="2"/>
      <c r="J290" s="1" t="s">
        <v>124</v>
      </c>
      <c r="K290" s="1">
        <v>100.0</v>
      </c>
      <c r="L290" s="1"/>
      <c r="M290" s="5">
        <v>133.17</v>
      </c>
    </row>
    <row r="291" ht="15.75" hidden="1" customHeight="1">
      <c r="A291" s="1" t="s">
        <v>758</v>
      </c>
      <c r="B291" s="2">
        <v>407.0</v>
      </c>
      <c r="C291" s="1" t="s">
        <v>449</v>
      </c>
      <c r="D291" s="1" t="s">
        <v>759</v>
      </c>
      <c r="E291" s="3">
        <v>44792.0</v>
      </c>
      <c r="F291" s="1" t="s">
        <v>3</v>
      </c>
      <c r="G291" s="4">
        <v>2.19076221E8</v>
      </c>
      <c r="H291" s="1" t="s">
        <v>730</v>
      </c>
      <c r="I291" s="2"/>
      <c r="J291" s="1" t="s">
        <v>9</v>
      </c>
      <c r="K291" s="1">
        <v>125.0</v>
      </c>
      <c r="L291" s="1"/>
      <c r="M291" s="5">
        <v>100.0</v>
      </c>
    </row>
    <row r="292" ht="15.75" hidden="1" customHeight="1">
      <c r="A292" s="1" t="s">
        <v>760</v>
      </c>
      <c r="B292" s="2">
        <v>408.0</v>
      </c>
      <c r="C292" s="1" t="s">
        <v>43</v>
      </c>
      <c r="D292" s="1" t="s">
        <v>761</v>
      </c>
      <c r="E292" s="3">
        <v>44792.0</v>
      </c>
      <c r="F292" s="1" t="s">
        <v>3</v>
      </c>
      <c r="G292" s="4">
        <v>2.19076221E8</v>
      </c>
      <c r="H292" s="1" t="s">
        <v>730</v>
      </c>
      <c r="I292" s="2"/>
      <c r="J292" s="1" t="s">
        <v>9</v>
      </c>
      <c r="K292" s="1">
        <v>50.0</v>
      </c>
      <c r="L292" s="1"/>
      <c r="M292" s="5">
        <v>122.24</v>
      </c>
    </row>
    <row r="293" ht="15.75" hidden="1" customHeight="1">
      <c r="A293" s="1" t="s">
        <v>762</v>
      </c>
      <c r="B293" s="2">
        <v>417.0</v>
      </c>
      <c r="C293" s="1" t="s">
        <v>43</v>
      </c>
      <c r="D293" s="1" t="s">
        <v>763</v>
      </c>
      <c r="E293" s="3">
        <v>44804.0</v>
      </c>
      <c r="F293" s="1" t="s">
        <v>3</v>
      </c>
      <c r="G293" s="4">
        <v>2.19076221E8</v>
      </c>
      <c r="H293" s="1" t="s">
        <v>730</v>
      </c>
      <c r="I293" s="2"/>
      <c r="J293" s="1" t="s">
        <v>9</v>
      </c>
      <c r="K293" s="1">
        <v>50.0</v>
      </c>
      <c r="L293" s="1"/>
      <c r="M293" s="5">
        <v>122.24</v>
      </c>
    </row>
    <row r="294" ht="15.75" hidden="1" customHeight="1">
      <c r="A294" s="1" t="s">
        <v>764</v>
      </c>
      <c r="B294" s="2">
        <v>427.0</v>
      </c>
      <c r="C294" s="1" t="s">
        <v>461</v>
      </c>
      <c r="D294" s="1" t="s">
        <v>765</v>
      </c>
      <c r="E294" s="3">
        <v>44812.0</v>
      </c>
      <c r="F294" s="1" t="s">
        <v>3</v>
      </c>
      <c r="G294" s="4">
        <v>2.19076221E8</v>
      </c>
      <c r="H294" s="1" t="s">
        <v>730</v>
      </c>
      <c r="I294" s="2"/>
      <c r="J294" s="1" t="s">
        <v>124</v>
      </c>
      <c r="K294" s="1">
        <v>10.0</v>
      </c>
      <c r="L294" s="1"/>
      <c r="M294" s="5">
        <v>125.89</v>
      </c>
    </row>
    <row r="295" ht="15.75" hidden="1" customHeight="1">
      <c r="A295" s="1" t="s">
        <v>766</v>
      </c>
      <c r="B295" s="2">
        <v>434.0</v>
      </c>
      <c r="C295" s="1" t="s">
        <v>569</v>
      </c>
      <c r="D295" s="1" t="s">
        <v>767</v>
      </c>
      <c r="E295" s="3">
        <v>44818.0</v>
      </c>
      <c r="F295" s="1" t="s">
        <v>3</v>
      </c>
      <c r="G295" s="4">
        <v>2.19076221E8</v>
      </c>
      <c r="H295" s="1" t="s">
        <v>730</v>
      </c>
      <c r="I295" s="2"/>
      <c r="J295" s="1" t="s">
        <v>9</v>
      </c>
      <c r="K295" s="1">
        <v>2.0</v>
      </c>
      <c r="L295" s="1"/>
      <c r="M295" s="5">
        <v>178.0</v>
      </c>
    </row>
    <row r="296" ht="15.75" hidden="1" customHeight="1">
      <c r="A296" s="1" t="s">
        <v>768</v>
      </c>
      <c r="B296" s="2">
        <v>469.0</v>
      </c>
      <c r="C296" s="1" t="s">
        <v>769</v>
      </c>
      <c r="D296" s="1" t="s">
        <v>770</v>
      </c>
      <c r="E296" s="3">
        <v>44872.0</v>
      </c>
      <c r="F296" s="1" t="s">
        <v>3</v>
      </c>
      <c r="G296" s="4">
        <v>2.19076221E8</v>
      </c>
      <c r="H296" s="1" t="s">
        <v>730</v>
      </c>
      <c r="I296" s="2"/>
      <c r="J296" s="1" t="s">
        <v>124</v>
      </c>
      <c r="K296" s="1">
        <v>20.0</v>
      </c>
      <c r="L296" s="1"/>
      <c r="M296" s="5">
        <v>176.78</v>
      </c>
    </row>
    <row r="297" ht="15.75" hidden="1" customHeight="1">
      <c r="A297" s="1" t="s">
        <v>771</v>
      </c>
      <c r="B297" s="2">
        <v>472.0</v>
      </c>
      <c r="C297" s="1" t="s">
        <v>772</v>
      </c>
      <c r="D297" s="1" t="s">
        <v>773</v>
      </c>
      <c r="E297" s="3">
        <v>44872.0</v>
      </c>
      <c r="F297" s="1" t="s">
        <v>3</v>
      </c>
      <c r="G297" s="4">
        <v>2.19076221E8</v>
      </c>
      <c r="H297" s="1" t="s">
        <v>730</v>
      </c>
      <c r="I297" s="2"/>
      <c r="J297" s="1" t="s">
        <v>124</v>
      </c>
      <c r="K297" s="1">
        <v>10.0</v>
      </c>
      <c r="L297" s="1"/>
      <c r="M297" s="5">
        <v>144.087</v>
      </c>
    </row>
    <row r="298" ht="15.75" hidden="1" customHeight="1">
      <c r="A298" s="1" t="s">
        <v>774</v>
      </c>
      <c r="B298" s="2">
        <v>477.0</v>
      </c>
      <c r="C298" s="1" t="s">
        <v>772</v>
      </c>
      <c r="D298" s="1" t="s">
        <v>775</v>
      </c>
      <c r="E298" s="3">
        <v>44883.0</v>
      </c>
      <c r="F298" s="1" t="s">
        <v>3</v>
      </c>
      <c r="G298" s="4">
        <v>2.19076221E8</v>
      </c>
      <c r="H298" s="1" t="s">
        <v>730</v>
      </c>
      <c r="I298" s="2"/>
      <c r="J298" s="1" t="s">
        <v>124</v>
      </c>
      <c r="K298" s="1">
        <v>10.0</v>
      </c>
      <c r="L298" s="1"/>
      <c r="M298" s="5">
        <v>144.87</v>
      </c>
    </row>
    <row r="299" ht="15.75" hidden="1" customHeight="1">
      <c r="A299" s="1" t="s">
        <v>776</v>
      </c>
      <c r="B299" s="2">
        <v>639.0</v>
      </c>
      <c r="C299" s="1" t="s">
        <v>27</v>
      </c>
      <c r="D299" s="1" t="s">
        <v>777</v>
      </c>
      <c r="E299" s="1" t="s">
        <v>60</v>
      </c>
      <c r="F299" s="1" t="s">
        <v>3</v>
      </c>
      <c r="G299" s="4">
        <v>2.19076221E8</v>
      </c>
      <c r="H299" s="1" t="s">
        <v>730</v>
      </c>
      <c r="I299" s="2"/>
      <c r="J299" s="1" t="s">
        <v>124</v>
      </c>
      <c r="K299" s="1">
        <v>28.0</v>
      </c>
      <c r="L299" s="1"/>
      <c r="M299" s="5">
        <v>242.22</v>
      </c>
    </row>
    <row r="300" ht="15.75" hidden="1" customHeight="1">
      <c r="A300" s="1" t="s">
        <v>778</v>
      </c>
      <c r="B300" s="2">
        <v>81.0</v>
      </c>
      <c r="C300" s="1" t="s">
        <v>27</v>
      </c>
      <c r="D300" s="1" t="s">
        <v>779</v>
      </c>
      <c r="E300" s="3">
        <v>44418.0</v>
      </c>
      <c r="F300" s="1" t="s">
        <v>86</v>
      </c>
      <c r="G300" s="4">
        <v>2.19083201E8</v>
      </c>
      <c r="I300" s="2"/>
      <c r="J300" s="1" t="s">
        <v>124</v>
      </c>
      <c r="K300" s="1">
        <v>50.0</v>
      </c>
      <c r="L300" s="1"/>
      <c r="M300" s="5">
        <v>92.65</v>
      </c>
    </row>
    <row r="301" ht="15.75" hidden="1" customHeight="1">
      <c r="A301" s="1" t="s">
        <v>780</v>
      </c>
      <c r="B301" s="2">
        <v>83.0</v>
      </c>
      <c r="C301" s="1" t="s">
        <v>488</v>
      </c>
      <c r="D301" s="1" t="s">
        <v>781</v>
      </c>
      <c r="E301" s="3">
        <v>44418.0</v>
      </c>
      <c r="F301" s="1" t="s">
        <v>3</v>
      </c>
      <c r="G301" s="4">
        <v>2.19083201E8</v>
      </c>
      <c r="I301" s="2"/>
      <c r="J301" s="1" t="s">
        <v>9</v>
      </c>
      <c r="K301" s="1">
        <v>2.0</v>
      </c>
      <c r="L301" s="1"/>
      <c r="M301" s="5">
        <v>105.0</v>
      </c>
    </row>
    <row r="302" ht="15.75" hidden="1" customHeight="1">
      <c r="A302" s="1" t="s">
        <v>782</v>
      </c>
      <c r="B302" s="2">
        <v>92.0</v>
      </c>
      <c r="C302" s="1" t="s">
        <v>488</v>
      </c>
      <c r="D302" s="1" t="s">
        <v>783</v>
      </c>
      <c r="E302" s="3">
        <v>44418.0</v>
      </c>
      <c r="F302" s="1" t="s">
        <v>3</v>
      </c>
      <c r="G302" s="4">
        <v>2.19083201E8</v>
      </c>
      <c r="I302" s="2"/>
      <c r="J302" s="1" t="s">
        <v>9</v>
      </c>
      <c r="K302" s="1">
        <v>3.0</v>
      </c>
      <c r="L302" s="1"/>
      <c r="M302" s="5">
        <v>105.0</v>
      </c>
    </row>
    <row r="303" ht="15.75" hidden="1" customHeight="1">
      <c r="A303" s="1" t="s">
        <v>784</v>
      </c>
      <c r="B303" s="2">
        <v>357.0</v>
      </c>
      <c r="C303" s="1" t="s">
        <v>422</v>
      </c>
      <c r="D303" s="1" t="s">
        <v>785</v>
      </c>
      <c r="E303" s="3">
        <v>44713.0</v>
      </c>
      <c r="F303" s="1" t="s">
        <v>3</v>
      </c>
      <c r="G303" s="4">
        <v>2.19083221E8</v>
      </c>
      <c r="H303" s="1" t="s">
        <v>786</v>
      </c>
      <c r="I303" s="2"/>
      <c r="J303" s="1" t="s">
        <v>124</v>
      </c>
      <c r="K303" s="1">
        <v>1800.0</v>
      </c>
      <c r="L303" s="1"/>
      <c r="M303" s="5">
        <v>104.0</v>
      </c>
    </row>
    <row r="304" ht="15.75" hidden="1" customHeight="1">
      <c r="A304" s="1" t="s">
        <v>787</v>
      </c>
      <c r="B304" s="2">
        <v>163.0</v>
      </c>
      <c r="C304" s="1" t="s">
        <v>219</v>
      </c>
      <c r="D304" s="1" t="s">
        <v>788</v>
      </c>
      <c r="E304" s="3">
        <v>44461.0</v>
      </c>
      <c r="F304" s="1" t="s">
        <v>3</v>
      </c>
      <c r="G304" s="4">
        <v>2.19085211E8</v>
      </c>
      <c r="H304" s="1" t="s">
        <v>789</v>
      </c>
      <c r="I304" s="2"/>
      <c r="J304" s="1" t="s">
        <v>124</v>
      </c>
      <c r="K304" s="1">
        <v>50.0</v>
      </c>
      <c r="L304" s="1"/>
      <c r="M304" s="5">
        <v>100.0</v>
      </c>
    </row>
    <row r="305" ht="15.75" hidden="1" customHeight="1">
      <c r="A305" s="1" t="s">
        <v>790</v>
      </c>
      <c r="B305" s="2">
        <v>186.0</v>
      </c>
      <c r="C305" s="1" t="s">
        <v>27</v>
      </c>
      <c r="D305" s="1" t="s">
        <v>791</v>
      </c>
      <c r="E305" s="3">
        <v>44467.0</v>
      </c>
      <c r="F305" s="1" t="s">
        <v>86</v>
      </c>
      <c r="G305" s="4">
        <v>2.19085211E8</v>
      </c>
      <c r="H305" s="1" t="s">
        <v>789</v>
      </c>
      <c r="I305" s="2"/>
      <c r="J305" s="1" t="s">
        <v>9</v>
      </c>
      <c r="K305" s="1">
        <v>300.0</v>
      </c>
      <c r="L305" s="1"/>
      <c r="M305" s="5">
        <v>99.78</v>
      </c>
    </row>
    <row r="306" ht="15.75" hidden="1" customHeight="1">
      <c r="A306" s="1" t="s">
        <v>792</v>
      </c>
      <c r="B306" s="2">
        <v>212.0</v>
      </c>
      <c r="C306" s="1" t="s">
        <v>219</v>
      </c>
      <c r="D306" s="1" t="s">
        <v>793</v>
      </c>
      <c r="E306" s="3">
        <v>44508.0</v>
      </c>
      <c r="F306" s="1" t="s">
        <v>3</v>
      </c>
      <c r="G306" s="4">
        <v>2.19085211E8</v>
      </c>
      <c r="H306" s="1" t="s">
        <v>789</v>
      </c>
      <c r="I306" s="2"/>
      <c r="J306" s="1" t="s">
        <v>124</v>
      </c>
      <c r="K306" s="1">
        <v>2.4</v>
      </c>
      <c r="L306" s="1"/>
      <c r="M306" s="5">
        <v>100.0</v>
      </c>
    </row>
    <row r="307" ht="15.75" hidden="1" customHeight="1">
      <c r="A307" s="1" t="s">
        <v>794</v>
      </c>
      <c r="B307" s="2">
        <v>231.0</v>
      </c>
      <c r="C307" s="1" t="s">
        <v>422</v>
      </c>
      <c r="D307" s="1" t="s">
        <v>795</v>
      </c>
      <c r="E307" s="3">
        <v>44533.0</v>
      </c>
      <c r="F307" s="1" t="s">
        <v>3</v>
      </c>
      <c r="G307" s="4">
        <v>2.19085211E8</v>
      </c>
      <c r="H307" s="1" t="s">
        <v>789</v>
      </c>
      <c r="I307" s="2"/>
      <c r="J307" s="1" t="s">
        <v>124</v>
      </c>
      <c r="K307" s="1">
        <v>108.55</v>
      </c>
      <c r="L307" s="1"/>
      <c r="M307" s="5">
        <v>104.0</v>
      </c>
    </row>
    <row r="308" ht="15.75" hidden="1" customHeight="1">
      <c r="A308" s="1" t="s">
        <v>796</v>
      </c>
      <c r="B308" s="2">
        <v>370.0</v>
      </c>
      <c r="C308" s="1" t="s">
        <v>797</v>
      </c>
      <c r="D308" s="1" t="s">
        <v>798</v>
      </c>
      <c r="E308" s="3">
        <v>44728.0</v>
      </c>
      <c r="F308" s="1" t="s">
        <v>3</v>
      </c>
      <c r="G308" s="4">
        <v>2.19087221E8</v>
      </c>
      <c r="H308" s="1" t="s">
        <v>799</v>
      </c>
      <c r="I308" s="2"/>
      <c r="J308" s="1" t="s">
        <v>124</v>
      </c>
      <c r="K308" s="1">
        <v>12.0</v>
      </c>
      <c r="L308" s="1"/>
      <c r="M308" s="5">
        <v>105.0</v>
      </c>
    </row>
    <row r="309" ht="15.75" hidden="1" customHeight="1">
      <c r="A309" s="1" t="s">
        <v>800</v>
      </c>
      <c r="B309" s="2">
        <v>386.0</v>
      </c>
      <c r="C309" s="1" t="s">
        <v>797</v>
      </c>
      <c r="D309" s="1" t="s">
        <v>801</v>
      </c>
      <c r="E309" s="3">
        <v>44760.0</v>
      </c>
      <c r="F309" s="1" t="s">
        <v>3</v>
      </c>
      <c r="G309" s="4">
        <v>2.19087221E8</v>
      </c>
      <c r="H309" s="1" t="s">
        <v>799</v>
      </c>
      <c r="I309" s="2"/>
      <c r="J309" s="1" t="s">
        <v>124</v>
      </c>
      <c r="K309" s="1">
        <v>12.0</v>
      </c>
      <c r="L309" s="1"/>
      <c r="M309" s="5">
        <v>105.0</v>
      </c>
    </row>
    <row r="310" ht="15.75" hidden="1" customHeight="1">
      <c r="A310" s="1" t="s">
        <v>802</v>
      </c>
      <c r="B310" s="2">
        <v>640.0</v>
      </c>
      <c r="C310" s="1" t="s">
        <v>797</v>
      </c>
      <c r="D310" s="1" t="s">
        <v>801</v>
      </c>
      <c r="E310" s="1" t="s">
        <v>60</v>
      </c>
      <c r="F310" s="1" t="s">
        <v>3</v>
      </c>
      <c r="G310" s="4">
        <v>2.19087221E8</v>
      </c>
      <c r="H310" s="1" t="s">
        <v>799</v>
      </c>
      <c r="I310" s="2"/>
      <c r="J310" s="1" t="s">
        <v>124</v>
      </c>
      <c r="K310" s="1">
        <v>12.0</v>
      </c>
      <c r="L310" s="1"/>
      <c r="M310" s="5">
        <v>105.0</v>
      </c>
    </row>
    <row r="311" ht="15.75" hidden="1" customHeight="1">
      <c r="A311" s="1" t="s">
        <v>803</v>
      </c>
      <c r="B311" s="2">
        <v>48.0</v>
      </c>
      <c r="C311" s="1" t="s">
        <v>804</v>
      </c>
      <c r="D311" s="1" t="s">
        <v>805</v>
      </c>
      <c r="E311" s="3">
        <v>44417.0</v>
      </c>
      <c r="F311" s="1" t="s">
        <v>3</v>
      </c>
      <c r="G311" s="4">
        <v>2.19088201E8</v>
      </c>
      <c r="I311" s="2"/>
      <c r="J311" s="1" t="s">
        <v>9</v>
      </c>
      <c r="K311" s="1">
        <v>50.0</v>
      </c>
      <c r="L311" s="1"/>
      <c r="M311" s="5">
        <v>119.62</v>
      </c>
    </row>
    <row r="312" ht="15.75" hidden="1" customHeight="1">
      <c r="A312" s="1" t="s">
        <v>806</v>
      </c>
      <c r="B312" s="2">
        <v>52.0</v>
      </c>
      <c r="C312" s="1" t="s">
        <v>255</v>
      </c>
      <c r="D312" s="1" t="s">
        <v>807</v>
      </c>
      <c r="E312" s="3">
        <v>44417.0</v>
      </c>
      <c r="F312" s="1" t="s">
        <v>3</v>
      </c>
      <c r="G312" s="4">
        <v>2.19088201E8</v>
      </c>
      <c r="I312" s="2"/>
      <c r="J312" s="1" t="s">
        <v>124</v>
      </c>
      <c r="K312" s="1">
        <v>50.0</v>
      </c>
      <c r="L312" s="1"/>
      <c r="M312" s="5">
        <v>133.17</v>
      </c>
    </row>
    <row r="313" ht="15.75" hidden="1" customHeight="1">
      <c r="A313" s="1" t="s">
        <v>808</v>
      </c>
      <c r="B313" s="2">
        <v>53.0</v>
      </c>
      <c r="C313" s="1" t="s">
        <v>809</v>
      </c>
      <c r="D313" s="1" t="s">
        <v>810</v>
      </c>
      <c r="E313" s="3">
        <v>44418.0</v>
      </c>
      <c r="F313" s="1" t="s">
        <v>3</v>
      </c>
      <c r="G313" s="4">
        <v>2.19088201E8</v>
      </c>
      <c r="I313" s="2"/>
      <c r="J313" s="1" t="s">
        <v>124</v>
      </c>
      <c r="K313" s="1">
        <v>31.0</v>
      </c>
      <c r="L313" s="1"/>
      <c r="M313" s="5">
        <v>165.0</v>
      </c>
    </row>
    <row r="314" ht="15.75" hidden="1" customHeight="1">
      <c r="A314" s="1" t="s">
        <v>811</v>
      </c>
      <c r="B314" s="2">
        <v>54.0</v>
      </c>
      <c r="C314" s="1" t="s">
        <v>812</v>
      </c>
      <c r="D314" s="1" t="s">
        <v>813</v>
      </c>
      <c r="E314" s="3">
        <v>44418.0</v>
      </c>
      <c r="F314" s="1" t="s">
        <v>3</v>
      </c>
      <c r="G314" s="4">
        <v>2.19088201E8</v>
      </c>
      <c r="I314" s="2"/>
      <c r="J314" s="1" t="s">
        <v>124</v>
      </c>
      <c r="K314" s="1">
        <v>15.0</v>
      </c>
      <c r="L314" s="1"/>
      <c r="M314" s="5">
        <v>129.8</v>
      </c>
    </row>
    <row r="315" ht="15.75" hidden="1" customHeight="1">
      <c r="A315" s="1" t="s">
        <v>814</v>
      </c>
      <c r="B315" s="2">
        <v>60.0</v>
      </c>
      <c r="C315" s="1" t="s">
        <v>815</v>
      </c>
      <c r="D315" s="1" t="s">
        <v>816</v>
      </c>
      <c r="E315" s="3">
        <v>44418.0</v>
      </c>
      <c r="F315" s="1" t="s">
        <v>3</v>
      </c>
      <c r="G315" s="4">
        <v>2.19088201E8</v>
      </c>
      <c r="I315" s="2"/>
      <c r="J315" s="1" t="s">
        <v>9</v>
      </c>
      <c r="K315" s="1">
        <v>1.0</v>
      </c>
      <c r="L315" s="1"/>
      <c r="M315" s="5">
        <v>143.94</v>
      </c>
    </row>
    <row r="316" ht="15.75" hidden="1" customHeight="1">
      <c r="A316" s="1" t="s">
        <v>817</v>
      </c>
      <c r="B316" s="2">
        <v>63.0</v>
      </c>
      <c r="C316" s="1" t="s">
        <v>664</v>
      </c>
      <c r="D316" s="1" t="s">
        <v>818</v>
      </c>
      <c r="E316" s="3">
        <v>44418.0</v>
      </c>
      <c r="F316" s="1" t="s">
        <v>3</v>
      </c>
      <c r="G316" s="4">
        <v>2.19088201E8</v>
      </c>
      <c r="I316" s="2"/>
      <c r="J316" s="1" t="s">
        <v>9</v>
      </c>
      <c r="K316" s="1">
        <v>5.0</v>
      </c>
      <c r="L316" s="1"/>
      <c r="M316" s="5">
        <v>139.63</v>
      </c>
    </row>
    <row r="317" ht="15.75" hidden="1" customHeight="1">
      <c r="A317" s="1" t="s">
        <v>819</v>
      </c>
      <c r="B317" s="2">
        <v>66.0</v>
      </c>
      <c r="C317" s="1" t="s">
        <v>820</v>
      </c>
      <c r="D317" s="1" t="s">
        <v>821</v>
      </c>
      <c r="E317" s="3">
        <v>44418.0</v>
      </c>
      <c r="F317" s="1" t="s">
        <v>3</v>
      </c>
      <c r="G317" s="4">
        <v>2.19088201E8</v>
      </c>
      <c r="I317" s="2"/>
      <c r="J317" s="1" t="s">
        <v>9</v>
      </c>
      <c r="K317" s="1">
        <v>1.0</v>
      </c>
      <c r="L317" s="1"/>
      <c r="M317" s="5">
        <v>161.31</v>
      </c>
    </row>
    <row r="318" ht="15.75" hidden="1" customHeight="1">
      <c r="A318" s="1" t="s">
        <v>642</v>
      </c>
      <c r="B318" s="2">
        <v>78.0</v>
      </c>
      <c r="C318" s="1" t="s">
        <v>126</v>
      </c>
      <c r="D318" s="1" t="s">
        <v>643</v>
      </c>
      <c r="E318" s="3">
        <v>44418.0</v>
      </c>
      <c r="F318" s="1" t="s">
        <v>3</v>
      </c>
      <c r="G318" s="4">
        <v>2.19088201E8</v>
      </c>
      <c r="I318" s="2"/>
      <c r="J318" s="1" t="s">
        <v>647</v>
      </c>
      <c r="K318" s="1">
        <v>5.0</v>
      </c>
      <c r="L318" s="1"/>
      <c r="M318" s="5">
        <v>164.19</v>
      </c>
    </row>
    <row r="319" ht="15.75" hidden="1" customHeight="1">
      <c r="A319" s="1" t="s">
        <v>822</v>
      </c>
      <c r="B319" s="2">
        <v>415.0</v>
      </c>
      <c r="C319" s="1" t="s">
        <v>219</v>
      </c>
      <c r="D319" s="1" t="s">
        <v>823</v>
      </c>
      <c r="E319" s="3">
        <v>44804.0</v>
      </c>
      <c r="F319" s="1" t="s">
        <v>3</v>
      </c>
      <c r="G319" s="4">
        <v>2.19088221E8</v>
      </c>
      <c r="H319" s="1" t="s">
        <v>824</v>
      </c>
      <c r="I319" s="2"/>
      <c r="J319" s="1" t="s">
        <v>124</v>
      </c>
      <c r="K319" s="1">
        <v>10.0</v>
      </c>
      <c r="L319" s="1"/>
      <c r="M319" s="5">
        <v>100.0</v>
      </c>
    </row>
    <row r="320" ht="15.75" hidden="1" customHeight="1">
      <c r="A320" s="1" t="s">
        <v>825</v>
      </c>
      <c r="B320" s="2">
        <v>411.0</v>
      </c>
      <c r="C320" s="1" t="s">
        <v>169</v>
      </c>
      <c r="D320" s="1" t="s">
        <v>826</v>
      </c>
      <c r="E320" s="3">
        <v>44792.0</v>
      </c>
      <c r="F320" s="1" t="s">
        <v>3</v>
      </c>
      <c r="G320" s="4">
        <v>2.19089221E8</v>
      </c>
      <c r="H320" s="1" t="s">
        <v>827</v>
      </c>
      <c r="I320" s="2"/>
      <c r="J320" s="1" t="s">
        <v>124</v>
      </c>
      <c r="K320" s="1">
        <v>75.0</v>
      </c>
      <c r="L320" s="1"/>
      <c r="M320" s="5">
        <v>119.26</v>
      </c>
    </row>
    <row r="321" ht="15.75" hidden="1" customHeight="1">
      <c r="A321" s="1" t="s">
        <v>828</v>
      </c>
      <c r="B321" s="2">
        <v>420.0</v>
      </c>
      <c r="C321" s="1" t="s">
        <v>829</v>
      </c>
      <c r="D321" s="1" t="s">
        <v>830</v>
      </c>
      <c r="E321" s="3">
        <v>44811.0</v>
      </c>
      <c r="F321" s="1" t="s">
        <v>3</v>
      </c>
      <c r="G321" s="4">
        <v>2.19089221E8</v>
      </c>
      <c r="H321" s="1" t="s">
        <v>827</v>
      </c>
      <c r="I321" s="2"/>
      <c r="J321" s="1" t="s">
        <v>124</v>
      </c>
      <c r="K321" s="1">
        <v>20.0</v>
      </c>
      <c r="L321" s="1"/>
      <c r="M321" s="5">
        <v>149.97</v>
      </c>
    </row>
    <row r="322" ht="15.75" hidden="1" customHeight="1">
      <c r="A322" s="1" t="s">
        <v>831</v>
      </c>
      <c r="B322" s="2">
        <v>421.0</v>
      </c>
      <c r="C322" s="1" t="s">
        <v>449</v>
      </c>
      <c r="D322" s="1" t="s">
        <v>832</v>
      </c>
      <c r="E322" s="3">
        <v>44811.0</v>
      </c>
      <c r="F322" s="1" t="s">
        <v>3</v>
      </c>
      <c r="G322" s="4">
        <v>2.19089221E8</v>
      </c>
      <c r="H322" s="1" t="s">
        <v>827</v>
      </c>
      <c r="I322" s="2"/>
      <c r="J322" s="1" t="s">
        <v>9</v>
      </c>
      <c r="K322" s="1">
        <v>125.0</v>
      </c>
      <c r="L322" s="1"/>
      <c r="M322" s="5">
        <v>100.0</v>
      </c>
    </row>
    <row r="323" ht="15.75" hidden="1" customHeight="1">
      <c r="A323" s="1" t="s">
        <v>833</v>
      </c>
      <c r="B323" s="2">
        <v>430.0</v>
      </c>
      <c r="C323" s="1" t="s">
        <v>449</v>
      </c>
      <c r="D323" s="1" t="s">
        <v>834</v>
      </c>
      <c r="E323" s="3">
        <v>44813.0</v>
      </c>
      <c r="F323" s="1" t="s">
        <v>3</v>
      </c>
      <c r="G323" s="4">
        <v>2.19090221E8</v>
      </c>
      <c r="H323" s="1" t="s">
        <v>835</v>
      </c>
      <c r="I323" s="2"/>
      <c r="J323" s="1" t="s">
        <v>124</v>
      </c>
      <c r="K323" s="1">
        <v>5.0</v>
      </c>
      <c r="L323" s="1"/>
      <c r="M323" s="5">
        <v>140.54</v>
      </c>
    </row>
    <row r="324" ht="15.75" hidden="1" customHeight="1">
      <c r="A324" s="1" t="s">
        <v>836</v>
      </c>
      <c r="B324" s="2">
        <v>439.0</v>
      </c>
      <c r="C324" s="1" t="s">
        <v>449</v>
      </c>
      <c r="D324" s="1" t="s">
        <v>837</v>
      </c>
      <c r="E324" s="3">
        <v>44826.0</v>
      </c>
      <c r="F324" s="1" t="s">
        <v>3</v>
      </c>
      <c r="G324" s="4">
        <v>2.19090221E8</v>
      </c>
      <c r="H324" s="1" t="s">
        <v>835</v>
      </c>
      <c r="I324" s="2"/>
      <c r="J324" s="1" t="s">
        <v>9</v>
      </c>
      <c r="K324" s="1">
        <v>125.0</v>
      </c>
      <c r="L324" s="1"/>
      <c r="M324" s="5">
        <v>100.0</v>
      </c>
    </row>
    <row r="325" ht="15.75" hidden="1" customHeight="1">
      <c r="A325" s="1" t="s">
        <v>838</v>
      </c>
      <c r="B325" s="2">
        <v>440.0</v>
      </c>
      <c r="C325" s="1" t="s">
        <v>362</v>
      </c>
      <c r="D325" s="1" t="s">
        <v>839</v>
      </c>
      <c r="E325" s="3">
        <v>44826.0</v>
      </c>
      <c r="F325" s="1" t="s">
        <v>3</v>
      </c>
      <c r="G325" s="4">
        <v>2.19090221E8</v>
      </c>
      <c r="H325" s="1" t="s">
        <v>835</v>
      </c>
      <c r="I325" s="2"/>
      <c r="J325" s="1" t="s">
        <v>124</v>
      </c>
      <c r="K325" s="1">
        <v>20.0</v>
      </c>
      <c r="L325" s="1"/>
      <c r="M325" s="5">
        <v>135.0</v>
      </c>
    </row>
    <row r="326" ht="15.75" hidden="1" customHeight="1">
      <c r="A326" s="1" t="s">
        <v>840</v>
      </c>
      <c r="B326" s="2">
        <v>441.0</v>
      </c>
      <c r="C326" s="1" t="s">
        <v>43</v>
      </c>
      <c r="D326" s="1" t="s">
        <v>841</v>
      </c>
      <c r="E326" s="3">
        <v>44830.0</v>
      </c>
      <c r="F326" s="1" t="s">
        <v>3</v>
      </c>
      <c r="G326" s="4">
        <v>2.19090221E8</v>
      </c>
      <c r="H326" s="1" t="s">
        <v>835</v>
      </c>
      <c r="I326" s="2"/>
      <c r="J326" s="1" t="s">
        <v>9</v>
      </c>
      <c r="K326" s="1">
        <v>50.0</v>
      </c>
      <c r="L326" s="1"/>
      <c r="M326" s="5">
        <v>122.24</v>
      </c>
    </row>
    <row r="327" ht="15.75" hidden="1" customHeight="1">
      <c r="A327" s="1" t="s">
        <v>842</v>
      </c>
      <c r="B327" s="2">
        <v>447.0</v>
      </c>
      <c r="C327" s="1" t="s">
        <v>27</v>
      </c>
      <c r="D327" s="1" t="s">
        <v>843</v>
      </c>
      <c r="E327" s="3">
        <v>44847.0</v>
      </c>
      <c r="F327" s="1" t="s">
        <v>3</v>
      </c>
      <c r="G327" s="4">
        <v>2.19090221E8</v>
      </c>
      <c r="H327" s="1" t="s">
        <v>835</v>
      </c>
      <c r="I327" s="2"/>
      <c r="J327" s="1" t="s">
        <v>9</v>
      </c>
      <c r="K327" s="1">
        <v>6.0</v>
      </c>
      <c r="L327" s="1"/>
      <c r="M327" s="5">
        <v>121.93</v>
      </c>
    </row>
    <row r="328" ht="15.75" hidden="1" customHeight="1">
      <c r="A328" s="1" t="s">
        <v>844</v>
      </c>
      <c r="B328" s="2">
        <v>448.0</v>
      </c>
      <c r="C328" s="1" t="s">
        <v>190</v>
      </c>
      <c r="D328" s="1" t="s">
        <v>845</v>
      </c>
      <c r="E328" s="3">
        <v>44847.0</v>
      </c>
      <c r="F328" s="1" t="s">
        <v>3</v>
      </c>
      <c r="G328" s="4">
        <v>2.19090221E8</v>
      </c>
      <c r="H328" s="1" t="s">
        <v>835</v>
      </c>
      <c r="I328" s="2"/>
      <c r="J328" s="1" t="s">
        <v>9</v>
      </c>
      <c r="K328" s="1">
        <v>1.0</v>
      </c>
      <c r="L328" s="1"/>
      <c r="M328" s="5">
        <v>122.0</v>
      </c>
    </row>
    <row r="329" ht="15.75" hidden="1" customHeight="1">
      <c r="A329" s="1" t="s">
        <v>846</v>
      </c>
      <c r="B329" s="2">
        <v>449.0</v>
      </c>
      <c r="C329" s="1" t="s">
        <v>664</v>
      </c>
      <c r="D329" s="1" t="s">
        <v>847</v>
      </c>
      <c r="E329" s="3">
        <v>44847.0</v>
      </c>
      <c r="F329" s="1" t="s">
        <v>3</v>
      </c>
      <c r="G329" s="4">
        <v>2.19090221E8</v>
      </c>
      <c r="H329" s="1" t="s">
        <v>835</v>
      </c>
      <c r="I329" s="2"/>
      <c r="J329" s="1" t="s">
        <v>9</v>
      </c>
      <c r="K329" s="1">
        <v>5.0</v>
      </c>
      <c r="L329" s="1"/>
      <c r="M329" s="5">
        <v>152.46</v>
      </c>
    </row>
    <row r="330" ht="15.75" hidden="1" customHeight="1">
      <c r="A330" s="1" t="s">
        <v>848</v>
      </c>
      <c r="B330" s="2">
        <v>450.0</v>
      </c>
      <c r="C330" s="1" t="s">
        <v>173</v>
      </c>
      <c r="D330" s="1" t="s">
        <v>849</v>
      </c>
      <c r="E330" s="3">
        <v>44847.0</v>
      </c>
      <c r="F330" s="1" t="s">
        <v>3</v>
      </c>
      <c r="G330" s="4">
        <v>2.19090221E8</v>
      </c>
      <c r="H330" s="1" t="s">
        <v>835</v>
      </c>
      <c r="I330" s="2"/>
      <c r="J330" s="1" t="s">
        <v>9</v>
      </c>
      <c r="K330" s="1">
        <v>100.0</v>
      </c>
      <c r="L330" s="1"/>
      <c r="M330" s="5">
        <v>79.25</v>
      </c>
    </row>
    <row r="331" ht="15.75" hidden="1" customHeight="1">
      <c r="A331" s="1" t="s">
        <v>850</v>
      </c>
      <c r="B331" s="2">
        <v>452.0</v>
      </c>
      <c r="C331" s="1" t="s">
        <v>190</v>
      </c>
      <c r="D331" s="1" t="s">
        <v>851</v>
      </c>
      <c r="E331" s="3">
        <v>44847.0</v>
      </c>
      <c r="F331" s="1" t="s">
        <v>3</v>
      </c>
      <c r="G331" s="4">
        <v>2.19090221E8</v>
      </c>
      <c r="H331" s="1" t="s">
        <v>835</v>
      </c>
      <c r="I331" s="2"/>
      <c r="J331" s="1" t="s">
        <v>9</v>
      </c>
      <c r="K331" s="1">
        <v>3.0</v>
      </c>
      <c r="L331" s="1"/>
      <c r="M331" s="5">
        <v>122.0</v>
      </c>
    </row>
    <row r="332" ht="15.75" hidden="1" customHeight="1">
      <c r="A332" s="1" t="s">
        <v>852</v>
      </c>
      <c r="B332" s="2">
        <v>453.0</v>
      </c>
      <c r="C332" s="1" t="s">
        <v>449</v>
      </c>
      <c r="D332" s="1" t="s">
        <v>853</v>
      </c>
      <c r="E332" s="3">
        <v>44847.0</v>
      </c>
      <c r="F332" s="1" t="s">
        <v>3</v>
      </c>
      <c r="G332" s="4">
        <v>2.19090221E8</v>
      </c>
      <c r="H332" s="1" t="s">
        <v>835</v>
      </c>
      <c r="I332" s="2"/>
      <c r="J332" s="1" t="s">
        <v>9</v>
      </c>
      <c r="K332" s="1">
        <v>125.0</v>
      </c>
      <c r="L332" s="1"/>
      <c r="M332" s="5">
        <v>100.0</v>
      </c>
    </row>
    <row r="333" ht="15.75" hidden="1" customHeight="1">
      <c r="A333" s="1" t="s">
        <v>854</v>
      </c>
      <c r="B333" s="2">
        <v>455.0</v>
      </c>
      <c r="C333" s="1" t="s">
        <v>855</v>
      </c>
      <c r="D333" s="1" t="s">
        <v>856</v>
      </c>
      <c r="E333" s="3">
        <v>44852.0</v>
      </c>
      <c r="F333" s="1" t="s">
        <v>3</v>
      </c>
      <c r="G333" s="4">
        <v>2.19090221E8</v>
      </c>
      <c r="H333" s="1" t="s">
        <v>835</v>
      </c>
      <c r="I333" s="2"/>
      <c r="J333" s="1" t="s">
        <v>9</v>
      </c>
      <c r="K333" s="1">
        <v>41.0</v>
      </c>
      <c r="L333" s="1"/>
      <c r="M333" s="5">
        <v>115.0</v>
      </c>
    </row>
    <row r="334" ht="15.75" hidden="1" customHeight="1">
      <c r="A334" s="1" t="s">
        <v>857</v>
      </c>
      <c r="B334" s="2">
        <v>456.0</v>
      </c>
      <c r="C334" s="1" t="s">
        <v>858</v>
      </c>
      <c r="D334" s="1" t="s">
        <v>859</v>
      </c>
      <c r="E334" s="3">
        <v>44852.0</v>
      </c>
      <c r="F334" s="1" t="s">
        <v>3</v>
      </c>
      <c r="G334" s="4">
        <v>2.19090221E8</v>
      </c>
      <c r="H334" s="1" t="s">
        <v>835</v>
      </c>
      <c r="I334" s="2"/>
      <c r="J334" s="1" t="s">
        <v>9</v>
      </c>
      <c r="K334" s="1">
        <v>10.0</v>
      </c>
      <c r="L334" s="1"/>
      <c r="M334" s="5">
        <v>120.0</v>
      </c>
    </row>
    <row r="335" ht="15.75" hidden="1" customHeight="1">
      <c r="A335" s="1" t="s">
        <v>860</v>
      </c>
      <c r="B335" s="2">
        <v>459.0</v>
      </c>
      <c r="C335" s="1" t="s">
        <v>80</v>
      </c>
      <c r="D335" s="1" t="s">
        <v>861</v>
      </c>
      <c r="E335" s="3">
        <v>44853.0</v>
      </c>
      <c r="F335" s="1" t="s">
        <v>3</v>
      </c>
      <c r="G335" s="4">
        <v>2.19090221E8</v>
      </c>
      <c r="H335" s="1" t="s">
        <v>835</v>
      </c>
      <c r="I335" s="2"/>
      <c r="J335" s="1" t="s">
        <v>416</v>
      </c>
      <c r="K335" s="1">
        <v>92.0</v>
      </c>
      <c r="L335" s="1"/>
      <c r="M335" s="5">
        <v>125.0</v>
      </c>
    </row>
    <row r="336" ht="15.75" hidden="1" customHeight="1">
      <c r="A336" s="1" t="s">
        <v>862</v>
      </c>
      <c r="B336" s="2">
        <v>460.0</v>
      </c>
      <c r="C336" s="1" t="s">
        <v>461</v>
      </c>
      <c r="D336" s="1" t="s">
        <v>863</v>
      </c>
      <c r="E336" s="3">
        <v>44855.0</v>
      </c>
      <c r="F336" s="1" t="s">
        <v>3</v>
      </c>
      <c r="G336" s="4">
        <v>2.19090221E8</v>
      </c>
      <c r="H336" s="1" t="s">
        <v>835</v>
      </c>
      <c r="I336" s="2"/>
      <c r="J336" s="1" t="s">
        <v>124</v>
      </c>
      <c r="K336" s="1">
        <v>100.0</v>
      </c>
      <c r="L336" s="1"/>
      <c r="M336" s="5">
        <v>121.68</v>
      </c>
    </row>
    <row r="337" ht="15.75" hidden="1" customHeight="1">
      <c r="A337" s="1" t="s">
        <v>864</v>
      </c>
      <c r="B337" s="2">
        <v>462.0</v>
      </c>
      <c r="C337" s="1" t="s">
        <v>865</v>
      </c>
      <c r="D337" s="1" t="s">
        <v>866</v>
      </c>
      <c r="E337" s="3">
        <v>44858.0</v>
      </c>
      <c r="F337" s="1" t="s">
        <v>3</v>
      </c>
      <c r="G337" s="4">
        <v>2.19090221E8</v>
      </c>
      <c r="H337" s="1" t="s">
        <v>835</v>
      </c>
      <c r="I337" s="2"/>
      <c r="J337" s="1" t="s">
        <v>124</v>
      </c>
      <c r="K337" s="1">
        <v>20.0</v>
      </c>
      <c r="L337" s="1"/>
      <c r="M337" s="5">
        <v>136.07</v>
      </c>
    </row>
    <row r="338" ht="15.75" hidden="1" customHeight="1">
      <c r="A338" s="1" t="s">
        <v>867</v>
      </c>
      <c r="B338" s="2">
        <v>464.0</v>
      </c>
      <c r="C338" s="1" t="s">
        <v>461</v>
      </c>
      <c r="D338" s="1" t="s">
        <v>868</v>
      </c>
      <c r="E338" s="3">
        <v>44860.0</v>
      </c>
      <c r="F338" s="1" t="s">
        <v>3</v>
      </c>
      <c r="G338" s="4">
        <v>2.19090221E8</v>
      </c>
      <c r="H338" s="1" t="s">
        <v>835</v>
      </c>
      <c r="I338" s="2"/>
      <c r="J338" s="1" t="s">
        <v>124</v>
      </c>
      <c r="K338" s="1">
        <v>10.0</v>
      </c>
      <c r="L338" s="1"/>
      <c r="M338" s="5">
        <v>125.89</v>
      </c>
    </row>
    <row r="339" ht="15.75" hidden="1" customHeight="1">
      <c r="A339" s="1" t="s">
        <v>869</v>
      </c>
      <c r="B339" s="2">
        <v>466.0</v>
      </c>
      <c r="C339" s="1" t="s">
        <v>126</v>
      </c>
      <c r="D339" s="1" t="s">
        <v>870</v>
      </c>
      <c r="E339" s="3">
        <v>44862.0</v>
      </c>
      <c r="F339" s="1" t="s">
        <v>3</v>
      </c>
      <c r="G339" s="4">
        <v>2.19090221E8</v>
      </c>
      <c r="H339" s="1" t="s">
        <v>835</v>
      </c>
      <c r="I339" s="2"/>
      <c r="J339" s="1" t="s">
        <v>124</v>
      </c>
      <c r="K339" s="1">
        <v>1.0</v>
      </c>
      <c r="L339" s="1"/>
      <c r="M339" s="5">
        <v>149.19</v>
      </c>
    </row>
    <row r="340" ht="15.75" hidden="1" customHeight="1">
      <c r="A340" s="1" t="s">
        <v>869</v>
      </c>
      <c r="B340" s="2">
        <v>466.0</v>
      </c>
      <c r="C340" s="1" t="s">
        <v>126</v>
      </c>
      <c r="D340" s="1" t="s">
        <v>870</v>
      </c>
      <c r="E340" s="3">
        <v>44862.0</v>
      </c>
      <c r="F340" s="1" t="s">
        <v>3</v>
      </c>
      <c r="G340" s="4">
        <v>2.19090221E8</v>
      </c>
      <c r="H340" s="1" t="s">
        <v>835</v>
      </c>
      <c r="I340" s="2"/>
      <c r="J340" s="1" t="s">
        <v>647</v>
      </c>
      <c r="K340" s="1">
        <v>5.0</v>
      </c>
      <c r="L340" s="1"/>
      <c r="M340" s="5">
        <v>164.19</v>
      </c>
    </row>
    <row r="341" ht="15.75" hidden="1" customHeight="1">
      <c r="A341" s="1" t="s">
        <v>871</v>
      </c>
      <c r="B341" s="2">
        <v>468.0</v>
      </c>
      <c r="C341" s="1" t="s">
        <v>872</v>
      </c>
      <c r="D341" s="1" t="s">
        <v>873</v>
      </c>
      <c r="E341" s="3">
        <v>44862.0</v>
      </c>
      <c r="F341" s="1" t="s">
        <v>3</v>
      </c>
      <c r="G341" s="4">
        <v>2.19090221E8</v>
      </c>
      <c r="H341" s="1" t="s">
        <v>835</v>
      </c>
      <c r="I341" s="2"/>
      <c r="J341" s="1" t="s">
        <v>124</v>
      </c>
      <c r="K341" s="1">
        <v>100.0</v>
      </c>
      <c r="L341" s="1"/>
      <c r="M341" s="5">
        <v>133.17</v>
      </c>
    </row>
    <row r="342" ht="15.75" hidden="1" customHeight="1">
      <c r="A342" s="1" t="s">
        <v>874</v>
      </c>
      <c r="B342" s="2">
        <v>398.0</v>
      </c>
      <c r="C342" s="1" t="s">
        <v>219</v>
      </c>
      <c r="D342" s="1" t="s">
        <v>875</v>
      </c>
      <c r="E342" s="3">
        <v>44781.0</v>
      </c>
      <c r="F342" s="1" t="s">
        <v>3</v>
      </c>
      <c r="G342" s="4">
        <v>2.19091221E8</v>
      </c>
      <c r="H342" s="1" t="s">
        <v>876</v>
      </c>
      <c r="I342" s="2"/>
      <c r="J342" s="1" t="s">
        <v>124</v>
      </c>
      <c r="K342" s="1">
        <v>75.0</v>
      </c>
      <c r="L342" s="1"/>
      <c r="M342" s="5">
        <v>100.0</v>
      </c>
    </row>
    <row r="343" ht="15.75" hidden="1" customHeight="1">
      <c r="A343" s="1" t="s">
        <v>877</v>
      </c>
      <c r="B343" s="2">
        <v>467.0</v>
      </c>
      <c r="C343" s="1" t="s">
        <v>464</v>
      </c>
      <c r="D343" s="1" t="s">
        <v>878</v>
      </c>
      <c r="E343" s="3">
        <v>44862.0</v>
      </c>
      <c r="F343" s="1" t="s">
        <v>3</v>
      </c>
      <c r="G343" s="4">
        <v>2.19091221E8</v>
      </c>
      <c r="H343" s="1" t="s">
        <v>876</v>
      </c>
      <c r="I343" s="2"/>
      <c r="J343" s="1" t="s">
        <v>124</v>
      </c>
      <c r="K343" s="1">
        <v>15.0</v>
      </c>
      <c r="L343" s="1"/>
      <c r="M343" s="5">
        <v>129.8</v>
      </c>
    </row>
    <row r="344" ht="15.75" hidden="1" customHeight="1">
      <c r="A344" s="1" t="s">
        <v>879</v>
      </c>
      <c r="B344" s="2">
        <v>474.0</v>
      </c>
      <c r="C344" s="1" t="s">
        <v>461</v>
      </c>
      <c r="D344" s="1" t="s">
        <v>880</v>
      </c>
      <c r="E344" s="3">
        <v>44876.0</v>
      </c>
      <c r="F344" s="1" t="s">
        <v>3</v>
      </c>
      <c r="G344" s="4">
        <v>2.19091221E8</v>
      </c>
      <c r="H344" s="1" t="s">
        <v>876</v>
      </c>
      <c r="I344" s="2"/>
      <c r="J344" s="1" t="s">
        <v>124</v>
      </c>
      <c r="K344" s="1">
        <v>10.0</v>
      </c>
      <c r="L344" s="1"/>
      <c r="M344" s="5">
        <v>125.89</v>
      </c>
    </row>
    <row r="345" ht="15.75" hidden="1" customHeight="1">
      <c r="A345" s="1" t="s">
        <v>881</v>
      </c>
      <c r="B345" s="2">
        <v>478.0</v>
      </c>
      <c r="C345" s="1" t="s">
        <v>449</v>
      </c>
      <c r="D345" s="1" t="s">
        <v>882</v>
      </c>
      <c r="E345" s="3">
        <v>44888.0</v>
      </c>
      <c r="F345" s="1" t="s">
        <v>3</v>
      </c>
      <c r="G345" s="4">
        <v>2.19091221E8</v>
      </c>
      <c r="H345" s="1" t="s">
        <v>876</v>
      </c>
      <c r="I345" s="2"/>
      <c r="J345" s="1" t="s">
        <v>9</v>
      </c>
      <c r="K345" s="1">
        <v>125.0</v>
      </c>
      <c r="L345" s="1"/>
      <c r="M345" s="5">
        <v>105.0</v>
      </c>
    </row>
    <row r="346" ht="15.75" hidden="1" customHeight="1">
      <c r="A346" s="1" t="s">
        <v>883</v>
      </c>
      <c r="B346" s="2">
        <v>480.0</v>
      </c>
      <c r="C346" s="1" t="s">
        <v>518</v>
      </c>
      <c r="D346" s="1" t="s">
        <v>884</v>
      </c>
      <c r="E346" s="3">
        <v>44893.0</v>
      </c>
      <c r="F346" s="1" t="s">
        <v>3</v>
      </c>
      <c r="G346" s="4">
        <v>2.19091221E8</v>
      </c>
      <c r="H346" s="1" t="s">
        <v>876</v>
      </c>
      <c r="I346" s="2"/>
      <c r="J346" s="1" t="s">
        <v>124</v>
      </c>
      <c r="K346" s="1">
        <v>5.0</v>
      </c>
      <c r="L346" s="1"/>
      <c r="M346" s="5">
        <v>135.34</v>
      </c>
    </row>
    <row r="347" ht="15.75" hidden="1" customHeight="1">
      <c r="A347" s="1" t="s">
        <v>885</v>
      </c>
      <c r="B347" s="2">
        <v>482.0</v>
      </c>
      <c r="C347" s="1" t="s">
        <v>513</v>
      </c>
      <c r="D347" s="1" t="s">
        <v>886</v>
      </c>
      <c r="E347" s="3">
        <v>44914.0</v>
      </c>
      <c r="F347" s="1" t="s">
        <v>3</v>
      </c>
      <c r="G347" s="4">
        <v>2.19091221E8</v>
      </c>
      <c r="H347" s="1" t="s">
        <v>876</v>
      </c>
      <c r="I347" s="2"/>
      <c r="J347" s="1" t="s">
        <v>124</v>
      </c>
      <c r="K347" s="1">
        <v>20.0</v>
      </c>
      <c r="L347" s="1"/>
      <c r="M347" s="5">
        <v>158.42</v>
      </c>
    </row>
    <row r="348" ht="15.75" hidden="1" customHeight="1">
      <c r="A348" s="1" t="s">
        <v>887</v>
      </c>
      <c r="B348" s="2">
        <v>647.0</v>
      </c>
      <c r="C348" s="1" t="s">
        <v>43</v>
      </c>
      <c r="D348" s="1" t="s">
        <v>888</v>
      </c>
      <c r="E348" s="3">
        <v>44661.0</v>
      </c>
      <c r="F348" s="1" t="s">
        <v>3</v>
      </c>
      <c r="G348" s="4">
        <v>2.19091221E8</v>
      </c>
      <c r="H348" s="1" t="s">
        <v>876</v>
      </c>
      <c r="I348" s="2"/>
      <c r="J348" s="1" t="s">
        <v>9</v>
      </c>
      <c r="K348" s="1">
        <v>1.0</v>
      </c>
      <c r="L348" s="1"/>
      <c r="M348" s="5">
        <v>154.2</v>
      </c>
    </row>
    <row r="349" ht="15.75" hidden="1" customHeight="1">
      <c r="A349" s="1" t="s">
        <v>889</v>
      </c>
      <c r="B349" s="2">
        <v>423.0</v>
      </c>
      <c r="C349" s="1" t="s">
        <v>890</v>
      </c>
      <c r="D349" s="1" t="s">
        <v>891</v>
      </c>
      <c r="E349" s="3">
        <v>44811.0</v>
      </c>
      <c r="F349" s="1" t="s">
        <v>3</v>
      </c>
      <c r="G349" s="4">
        <v>2.19093221E8</v>
      </c>
      <c r="H349" s="1" t="s">
        <v>892</v>
      </c>
      <c r="I349" s="2"/>
      <c r="J349" s="1" t="s">
        <v>124</v>
      </c>
      <c r="K349" s="1">
        <v>500.0</v>
      </c>
      <c r="L349" s="1"/>
      <c r="M349" s="5">
        <v>119.44</v>
      </c>
    </row>
    <row r="350" ht="15.75" hidden="1" customHeight="1">
      <c r="A350" s="1" t="s">
        <v>842</v>
      </c>
      <c r="B350" s="2">
        <v>447.0</v>
      </c>
      <c r="C350" s="1" t="s">
        <v>27</v>
      </c>
      <c r="D350" s="1" t="s">
        <v>843</v>
      </c>
      <c r="E350" s="3">
        <v>44847.0</v>
      </c>
      <c r="F350" s="1" t="s">
        <v>3</v>
      </c>
      <c r="G350" s="4">
        <v>2.19096221E8</v>
      </c>
      <c r="H350" s="1" t="s">
        <v>893</v>
      </c>
      <c r="I350" s="2"/>
      <c r="J350" s="1" t="s">
        <v>531</v>
      </c>
      <c r="K350" s="1">
        <v>25.0</v>
      </c>
      <c r="L350" s="1"/>
      <c r="M350" s="5">
        <v>242.22</v>
      </c>
    </row>
    <row r="351" ht="15.75" hidden="1" customHeight="1">
      <c r="A351" s="1" t="s">
        <v>894</v>
      </c>
      <c r="B351" s="2">
        <v>167.0</v>
      </c>
      <c r="C351" s="1" t="s">
        <v>27</v>
      </c>
      <c r="D351" s="1" t="s">
        <v>272</v>
      </c>
      <c r="E351" s="3">
        <v>44467.0</v>
      </c>
      <c r="F351" s="1" t="s">
        <v>3</v>
      </c>
      <c r="G351" s="4">
        <v>2.19100211E8</v>
      </c>
      <c r="H351" s="1" t="s">
        <v>895</v>
      </c>
      <c r="I351" s="2"/>
      <c r="J351" s="1" t="s">
        <v>896</v>
      </c>
      <c r="K351" s="1">
        <v>30.0</v>
      </c>
      <c r="L351" s="1"/>
      <c r="M351" s="5">
        <v>277.49</v>
      </c>
    </row>
    <row r="352" ht="15.75" hidden="1" customHeight="1">
      <c r="A352" s="1" t="s">
        <v>897</v>
      </c>
      <c r="B352" s="2">
        <v>178.0</v>
      </c>
      <c r="C352" s="1" t="s">
        <v>27</v>
      </c>
      <c r="D352" s="1" t="s">
        <v>560</v>
      </c>
      <c r="E352" s="3">
        <v>44467.0</v>
      </c>
      <c r="F352" s="1" t="s">
        <v>3</v>
      </c>
      <c r="G352" s="4">
        <v>2.19100211E8</v>
      </c>
      <c r="H352" s="1" t="s">
        <v>895</v>
      </c>
      <c r="I352" s="2"/>
      <c r="J352" s="1" t="s">
        <v>531</v>
      </c>
      <c r="K352" s="1">
        <v>3.0</v>
      </c>
      <c r="L352" s="1"/>
      <c r="M352" s="5">
        <v>242.22</v>
      </c>
    </row>
    <row r="353" ht="15.75" hidden="1" customHeight="1">
      <c r="A353" s="1" t="s">
        <v>898</v>
      </c>
      <c r="B353" s="2">
        <v>217.0</v>
      </c>
      <c r="C353" s="1" t="s">
        <v>27</v>
      </c>
      <c r="D353" s="1" t="s">
        <v>899</v>
      </c>
      <c r="E353" s="3">
        <v>44508.0</v>
      </c>
      <c r="F353" s="1" t="s">
        <v>86</v>
      </c>
      <c r="G353" s="4">
        <v>2.19100211E8</v>
      </c>
      <c r="H353" s="1" t="s">
        <v>895</v>
      </c>
      <c r="I353" s="2"/>
      <c r="J353" s="1" t="s">
        <v>440</v>
      </c>
      <c r="K353" s="1">
        <v>5.0</v>
      </c>
      <c r="L353" s="1"/>
      <c r="M353" s="5">
        <v>174.93</v>
      </c>
    </row>
    <row r="354" ht="15.75" hidden="1" customHeight="1">
      <c r="A354" s="1" t="s">
        <v>900</v>
      </c>
      <c r="B354" s="2">
        <v>223.0</v>
      </c>
      <c r="C354" s="1" t="s">
        <v>27</v>
      </c>
      <c r="D354" s="1" t="s">
        <v>901</v>
      </c>
      <c r="E354" s="3">
        <v>44522.0</v>
      </c>
      <c r="F354" s="1" t="s">
        <v>86</v>
      </c>
      <c r="G354" s="4">
        <v>2.19100211E8</v>
      </c>
      <c r="H354" s="1" t="s">
        <v>895</v>
      </c>
      <c r="I354" s="2"/>
      <c r="J354" s="1" t="s">
        <v>440</v>
      </c>
      <c r="K354" s="1">
        <v>5.0</v>
      </c>
      <c r="L354" s="1"/>
      <c r="M354" s="5">
        <v>174.93</v>
      </c>
    </row>
    <row r="355" ht="15.75" hidden="1" customHeight="1">
      <c r="A355" s="1" t="s">
        <v>902</v>
      </c>
      <c r="B355" s="2">
        <v>2.0</v>
      </c>
      <c r="C355" s="1" t="s">
        <v>449</v>
      </c>
      <c r="D355" s="1" t="s">
        <v>903</v>
      </c>
      <c r="E355" s="3">
        <v>44414.0</v>
      </c>
      <c r="F355" s="1" t="s">
        <v>3</v>
      </c>
      <c r="G355" s="4">
        <v>2.19103201E8</v>
      </c>
      <c r="I355" s="2"/>
      <c r="J355" s="1" t="s">
        <v>9</v>
      </c>
      <c r="K355" s="1">
        <v>125.0</v>
      </c>
      <c r="L355" s="1"/>
      <c r="M355" s="5">
        <v>100.0</v>
      </c>
    </row>
    <row r="356" ht="15.75" hidden="1" customHeight="1">
      <c r="A356" s="1" t="s">
        <v>904</v>
      </c>
      <c r="B356" s="2">
        <v>479.0</v>
      </c>
      <c r="C356" s="1" t="s">
        <v>449</v>
      </c>
      <c r="D356" s="1" t="s">
        <v>905</v>
      </c>
      <c r="E356" s="3">
        <v>44893.0</v>
      </c>
      <c r="F356" s="1" t="s">
        <v>3</v>
      </c>
      <c r="G356" s="4">
        <v>2.19106221E8</v>
      </c>
      <c r="H356" s="1" t="s">
        <v>906</v>
      </c>
      <c r="I356" s="2"/>
      <c r="J356" s="1" t="s">
        <v>124</v>
      </c>
      <c r="K356" s="1">
        <v>1.0</v>
      </c>
      <c r="L356" s="1"/>
      <c r="M356" s="5">
        <v>168.9</v>
      </c>
    </row>
    <row r="357" ht="15.75" hidden="1" customHeight="1">
      <c r="A357" s="1" t="s">
        <v>618</v>
      </c>
      <c r="B357" s="2">
        <v>181.0</v>
      </c>
      <c r="C357" s="1" t="s">
        <v>27</v>
      </c>
      <c r="D357" s="1" t="s">
        <v>619</v>
      </c>
      <c r="E357" s="3">
        <v>44467.0</v>
      </c>
      <c r="F357" s="1" t="s">
        <v>86</v>
      </c>
      <c r="G357" s="4">
        <v>2.19107211E8</v>
      </c>
      <c r="H357" s="1" t="s">
        <v>907</v>
      </c>
      <c r="I357" s="2"/>
      <c r="J357" s="1" t="s">
        <v>16</v>
      </c>
      <c r="K357" s="1">
        <v>250.0</v>
      </c>
      <c r="L357" s="1"/>
      <c r="M357" s="5">
        <v>93.26</v>
      </c>
    </row>
    <row r="358" ht="15.75" hidden="1" customHeight="1">
      <c r="A358" s="1" t="s">
        <v>908</v>
      </c>
      <c r="B358" s="2">
        <v>185.0</v>
      </c>
      <c r="C358" s="1" t="s">
        <v>59</v>
      </c>
      <c r="D358" s="1" t="s">
        <v>909</v>
      </c>
      <c r="E358" s="3">
        <v>44467.0</v>
      </c>
      <c r="F358" s="1" t="s">
        <v>3</v>
      </c>
      <c r="G358" s="4">
        <v>2.19107211E8</v>
      </c>
      <c r="H358" s="1" t="s">
        <v>907</v>
      </c>
      <c r="I358" s="2"/>
      <c r="J358" s="1" t="s">
        <v>16</v>
      </c>
      <c r="K358" s="1">
        <v>550.0</v>
      </c>
      <c r="L358" s="1"/>
      <c r="M358" s="5">
        <v>90.0</v>
      </c>
    </row>
    <row r="359" ht="15.75" hidden="1" customHeight="1">
      <c r="A359" s="1" t="s">
        <v>571</v>
      </c>
      <c r="B359" s="2">
        <v>190.0</v>
      </c>
      <c r="C359" s="1" t="s">
        <v>39</v>
      </c>
      <c r="D359" s="1" t="s">
        <v>572</v>
      </c>
      <c r="E359" s="3">
        <v>44476.0</v>
      </c>
      <c r="F359" s="1" t="s">
        <v>3</v>
      </c>
      <c r="G359" s="4">
        <v>2.19107211E8</v>
      </c>
      <c r="H359" s="1" t="s">
        <v>907</v>
      </c>
      <c r="I359" s="2"/>
      <c r="J359" s="1" t="s">
        <v>16</v>
      </c>
      <c r="K359" s="1">
        <v>350.0</v>
      </c>
      <c r="L359" s="1"/>
      <c r="M359" s="5">
        <v>99.0</v>
      </c>
    </row>
    <row r="360" ht="15.75" hidden="1" customHeight="1">
      <c r="A360" s="1" t="s">
        <v>792</v>
      </c>
      <c r="B360" s="2">
        <v>212.0</v>
      </c>
      <c r="C360" s="1" t="s">
        <v>219</v>
      </c>
      <c r="D360" s="1" t="s">
        <v>793</v>
      </c>
      <c r="E360" s="3">
        <v>44508.0</v>
      </c>
      <c r="F360" s="1" t="s">
        <v>3</v>
      </c>
      <c r="G360" s="4">
        <v>2.19107211E8</v>
      </c>
      <c r="H360" s="1" t="s">
        <v>907</v>
      </c>
      <c r="I360" s="2"/>
      <c r="J360" s="1" t="s">
        <v>124</v>
      </c>
      <c r="K360" s="1">
        <v>9.83</v>
      </c>
      <c r="L360" s="1"/>
      <c r="M360" s="5">
        <v>100.0</v>
      </c>
    </row>
    <row r="361" ht="15.75" hidden="1" customHeight="1">
      <c r="A361" s="1" t="s">
        <v>794</v>
      </c>
      <c r="B361" s="2">
        <v>231.0</v>
      </c>
      <c r="C361" s="1" t="s">
        <v>422</v>
      </c>
      <c r="D361" s="1" t="s">
        <v>795</v>
      </c>
      <c r="E361" s="3">
        <v>44533.0</v>
      </c>
      <c r="F361" s="1" t="s">
        <v>3</v>
      </c>
      <c r="G361" s="4">
        <v>2.19107211E8</v>
      </c>
      <c r="H361" s="1" t="s">
        <v>907</v>
      </c>
      <c r="I361" s="2"/>
      <c r="J361" s="1" t="s">
        <v>124</v>
      </c>
      <c r="K361" s="1">
        <v>282.23</v>
      </c>
      <c r="L361" s="1"/>
      <c r="M361" s="5">
        <v>104.0</v>
      </c>
    </row>
    <row r="362" ht="15.75" hidden="1" customHeight="1">
      <c r="A362" s="1" t="s">
        <v>910</v>
      </c>
      <c r="B362" s="2">
        <v>406.0</v>
      </c>
      <c r="C362" s="1" t="s">
        <v>399</v>
      </c>
      <c r="D362" s="1" t="s">
        <v>911</v>
      </c>
      <c r="E362" s="3">
        <v>44792.0</v>
      </c>
      <c r="F362" s="1" t="s">
        <v>3</v>
      </c>
      <c r="G362" s="4">
        <v>2.19107221E8</v>
      </c>
      <c r="H362" s="1" t="s">
        <v>912</v>
      </c>
      <c r="I362" s="2"/>
      <c r="J362" s="1" t="s">
        <v>124</v>
      </c>
      <c r="K362" s="1">
        <v>1000.0</v>
      </c>
      <c r="L362" s="1"/>
      <c r="M362" s="5">
        <v>113.0</v>
      </c>
    </row>
    <row r="363" ht="15.75" hidden="1" customHeight="1">
      <c r="A363" s="1" t="s">
        <v>913</v>
      </c>
      <c r="B363" s="2">
        <v>409.0</v>
      </c>
      <c r="C363" s="1" t="s">
        <v>426</v>
      </c>
      <c r="D363" s="1" t="s">
        <v>914</v>
      </c>
      <c r="E363" s="3">
        <v>44792.0</v>
      </c>
      <c r="F363" s="1" t="s">
        <v>3</v>
      </c>
      <c r="G363" s="4">
        <v>2.19110221E8</v>
      </c>
      <c r="H363" s="1" t="s">
        <v>915</v>
      </c>
      <c r="I363" s="2"/>
      <c r="J363" s="1" t="s">
        <v>124</v>
      </c>
      <c r="K363" s="1">
        <v>1440.0</v>
      </c>
      <c r="L363" s="1"/>
      <c r="M363" s="5">
        <v>35.0</v>
      </c>
    </row>
    <row r="364" ht="15.75" hidden="1" customHeight="1">
      <c r="A364" s="1" t="s">
        <v>916</v>
      </c>
      <c r="B364" s="2">
        <v>5.0</v>
      </c>
      <c r="C364" s="1" t="s">
        <v>27</v>
      </c>
      <c r="D364" s="1" t="s">
        <v>917</v>
      </c>
      <c r="E364" s="3">
        <v>44414.0</v>
      </c>
      <c r="F364" s="1" t="s">
        <v>3</v>
      </c>
      <c r="G364" s="4">
        <v>2.19112201E8</v>
      </c>
      <c r="I364" s="2"/>
      <c r="J364" s="1" t="s">
        <v>124</v>
      </c>
      <c r="K364" s="1">
        <v>100.0</v>
      </c>
      <c r="L364" s="1"/>
      <c r="M364" s="5">
        <v>114.71</v>
      </c>
    </row>
    <row r="365" ht="15.75" hidden="1" customHeight="1">
      <c r="A365" s="1" t="s">
        <v>918</v>
      </c>
      <c r="B365" s="2">
        <v>6.0</v>
      </c>
      <c r="C365" s="1" t="s">
        <v>449</v>
      </c>
      <c r="D365" s="1" t="s">
        <v>919</v>
      </c>
      <c r="E365" s="3">
        <v>44414.0</v>
      </c>
      <c r="F365" s="1" t="s">
        <v>3</v>
      </c>
      <c r="G365" s="4">
        <v>2.19112201E8</v>
      </c>
      <c r="I365" s="2"/>
      <c r="J365" s="1" t="s">
        <v>416</v>
      </c>
      <c r="K365" s="1">
        <v>5.0</v>
      </c>
      <c r="L365" s="1"/>
      <c r="M365" s="5">
        <v>140.45</v>
      </c>
    </row>
    <row r="366" ht="15.75" hidden="1" customHeight="1">
      <c r="A366" s="1" t="s">
        <v>920</v>
      </c>
      <c r="B366" s="2">
        <v>24.0</v>
      </c>
      <c r="C366" s="1" t="s">
        <v>246</v>
      </c>
      <c r="D366" s="1" t="s">
        <v>921</v>
      </c>
      <c r="E366" s="3">
        <v>44417.0</v>
      </c>
      <c r="F366" s="1" t="s">
        <v>3</v>
      </c>
      <c r="G366" s="4">
        <v>2.19112201E8</v>
      </c>
      <c r="I366" s="2"/>
      <c r="J366" s="1" t="s">
        <v>124</v>
      </c>
      <c r="K366" s="1">
        <v>10.0</v>
      </c>
      <c r="L366" s="1"/>
      <c r="M366" s="5">
        <v>114.35</v>
      </c>
    </row>
    <row r="367" ht="15.75" hidden="1" customHeight="1">
      <c r="A367" s="1" t="s">
        <v>922</v>
      </c>
      <c r="B367" s="2">
        <v>35.0</v>
      </c>
      <c r="C367" s="1" t="s">
        <v>219</v>
      </c>
      <c r="D367" s="1" t="s">
        <v>923</v>
      </c>
      <c r="E367" s="3">
        <v>44417.0</v>
      </c>
      <c r="F367" s="1" t="s">
        <v>3</v>
      </c>
      <c r="G367" s="4">
        <v>2.19112201E8</v>
      </c>
      <c r="I367" s="2"/>
      <c r="J367" s="1" t="s">
        <v>124</v>
      </c>
      <c r="K367" s="1">
        <v>75.0</v>
      </c>
      <c r="L367" s="1"/>
      <c r="M367" s="5">
        <v>100.0</v>
      </c>
    </row>
    <row r="368" ht="15.75" hidden="1" customHeight="1">
      <c r="A368" s="1" t="s">
        <v>924</v>
      </c>
      <c r="B368" s="2">
        <v>41.0</v>
      </c>
      <c r="C368" s="1" t="s">
        <v>135</v>
      </c>
      <c r="D368" s="1" t="s">
        <v>925</v>
      </c>
      <c r="E368" s="3">
        <v>44417.0</v>
      </c>
      <c r="F368" s="1" t="s">
        <v>3</v>
      </c>
      <c r="G368" s="4">
        <v>2.19112201E8</v>
      </c>
      <c r="I368" s="2"/>
      <c r="J368" s="1" t="s">
        <v>9</v>
      </c>
      <c r="K368" s="1">
        <v>100.0</v>
      </c>
      <c r="L368" s="1"/>
      <c r="M368" s="5">
        <v>125.0</v>
      </c>
    </row>
    <row r="369" ht="15.75" hidden="1" customHeight="1">
      <c r="A369" s="1" t="s">
        <v>926</v>
      </c>
      <c r="B369" s="2">
        <v>64.0</v>
      </c>
      <c r="C369" s="1" t="s">
        <v>461</v>
      </c>
      <c r="D369" s="1" t="s">
        <v>927</v>
      </c>
      <c r="E369" s="3">
        <v>44418.0</v>
      </c>
      <c r="F369" s="1" t="s">
        <v>3</v>
      </c>
      <c r="G369" s="4">
        <v>2.19112201E8</v>
      </c>
      <c r="I369" s="2"/>
      <c r="J369" s="1" t="s">
        <v>124</v>
      </c>
      <c r="K369" s="1">
        <v>100.0</v>
      </c>
      <c r="L369" s="1"/>
      <c r="M369" s="5">
        <v>121.68</v>
      </c>
    </row>
    <row r="370" ht="15.75" hidden="1" customHeight="1">
      <c r="A370" s="1" t="s">
        <v>414</v>
      </c>
      <c r="B370" s="2">
        <v>71.0</v>
      </c>
      <c r="C370" s="1" t="s">
        <v>286</v>
      </c>
      <c r="D370" s="1" t="s">
        <v>415</v>
      </c>
      <c r="E370" s="3">
        <v>44418.0</v>
      </c>
      <c r="F370" s="1" t="s">
        <v>3</v>
      </c>
      <c r="G370" s="4">
        <v>2.19112201E8</v>
      </c>
      <c r="I370" s="2"/>
      <c r="J370" s="1" t="s">
        <v>124</v>
      </c>
      <c r="K370" s="1">
        <v>100.0</v>
      </c>
      <c r="L370" s="1"/>
      <c r="M370" s="5">
        <v>105.0</v>
      </c>
    </row>
    <row r="371" ht="15.75" hidden="1" customHeight="1">
      <c r="A371" s="1" t="s">
        <v>928</v>
      </c>
      <c r="B371" s="2">
        <v>89.0</v>
      </c>
      <c r="C371" s="1" t="s">
        <v>929</v>
      </c>
      <c r="D371" s="1" t="s">
        <v>930</v>
      </c>
      <c r="E371" s="3">
        <v>44418.0</v>
      </c>
      <c r="F371" s="1" t="s">
        <v>3</v>
      </c>
      <c r="G371" s="4">
        <v>2.19112201E8</v>
      </c>
      <c r="I371" s="2"/>
      <c r="J371" s="1" t="s">
        <v>124</v>
      </c>
      <c r="K371" s="1">
        <v>15.0</v>
      </c>
      <c r="L371" s="1"/>
      <c r="M371" s="5">
        <v>134.67</v>
      </c>
    </row>
    <row r="372" ht="15.75" hidden="1" customHeight="1">
      <c r="A372" s="1" t="s">
        <v>931</v>
      </c>
      <c r="B372" s="2">
        <v>3.0</v>
      </c>
      <c r="C372" s="1" t="s">
        <v>932</v>
      </c>
      <c r="D372" s="1" t="s">
        <v>933</v>
      </c>
      <c r="E372" s="3">
        <v>44414.0</v>
      </c>
      <c r="F372" s="1" t="s">
        <v>3</v>
      </c>
      <c r="G372" s="4">
        <v>2.19116201E8</v>
      </c>
      <c r="I372" s="2"/>
      <c r="J372" s="1" t="s">
        <v>9</v>
      </c>
      <c r="K372" s="1">
        <v>15.0</v>
      </c>
      <c r="L372" s="1"/>
      <c r="M372" s="5">
        <v>115.0</v>
      </c>
    </row>
    <row r="373" ht="15.75" hidden="1" customHeight="1">
      <c r="A373" s="1" t="s">
        <v>934</v>
      </c>
      <c r="B373" s="2">
        <v>4.0</v>
      </c>
      <c r="C373" s="1" t="s">
        <v>475</v>
      </c>
      <c r="D373" s="1" t="s">
        <v>935</v>
      </c>
      <c r="E373" s="3">
        <v>44414.0</v>
      </c>
      <c r="F373" s="1" t="s">
        <v>3</v>
      </c>
      <c r="G373" s="4">
        <v>2.19116201E8</v>
      </c>
      <c r="I373" s="2"/>
      <c r="J373" s="1" t="s">
        <v>124</v>
      </c>
      <c r="K373" s="1">
        <v>50.0</v>
      </c>
      <c r="L373" s="1"/>
      <c r="M373" s="5">
        <v>155.0</v>
      </c>
    </row>
    <row r="374" ht="15.75" hidden="1" customHeight="1">
      <c r="A374" s="1" t="s">
        <v>936</v>
      </c>
      <c r="B374" s="2">
        <v>9.0</v>
      </c>
      <c r="C374" s="1" t="s">
        <v>937</v>
      </c>
      <c r="D374" s="1" t="s">
        <v>938</v>
      </c>
      <c r="E374" s="3">
        <v>44417.0</v>
      </c>
      <c r="F374" s="1" t="s">
        <v>3</v>
      </c>
      <c r="G374" s="4">
        <v>2.19116201E8</v>
      </c>
      <c r="I374" s="2"/>
      <c r="J374" s="1" t="s">
        <v>124</v>
      </c>
      <c r="K374" s="1">
        <v>15.0</v>
      </c>
      <c r="L374" s="1"/>
      <c r="M374" s="5">
        <v>134.67</v>
      </c>
    </row>
    <row r="375" ht="15.75" hidden="1" customHeight="1">
      <c r="A375" s="1" t="s">
        <v>939</v>
      </c>
      <c r="B375" s="2">
        <v>10.0</v>
      </c>
      <c r="C375" s="1" t="s">
        <v>940</v>
      </c>
      <c r="D375" s="1" t="s">
        <v>941</v>
      </c>
      <c r="E375" s="3">
        <v>44417.0</v>
      </c>
      <c r="F375" s="1" t="s">
        <v>3</v>
      </c>
      <c r="G375" s="4">
        <v>2.19116201E8</v>
      </c>
      <c r="I375" s="2"/>
      <c r="J375" s="1" t="s">
        <v>9</v>
      </c>
      <c r="K375" s="1">
        <v>6.0</v>
      </c>
      <c r="L375" s="1"/>
      <c r="M375" s="5">
        <v>119.35</v>
      </c>
    </row>
    <row r="376" ht="15.75" hidden="1" customHeight="1">
      <c r="A376" s="1" t="s">
        <v>942</v>
      </c>
      <c r="B376" s="2">
        <v>12.0</v>
      </c>
      <c r="C376" s="1" t="s">
        <v>461</v>
      </c>
      <c r="D376" s="1" t="s">
        <v>943</v>
      </c>
      <c r="E376" s="3">
        <v>44417.0</v>
      </c>
      <c r="F376" s="1" t="s">
        <v>3</v>
      </c>
      <c r="G376" s="4">
        <v>2.19116201E8</v>
      </c>
      <c r="H376" s="1" t="s">
        <v>944</v>
      </c>
      <c r="I376" s="2"/>
      <c r="J376" s="1" t="s">
        <v>124</v>
      </c>
      <c r="K376" s="1">
        <v>100.0</v>
      </c>
      <c r="L376" s="1"/>
      <c r="M376" s="5">
        <v>121.68</v>
      </c>
    </row>
    <row r="377" ht="15.75" hidden="1" customHeight="1">
      <c r="A377" s="1" t="s">
        <v>945</v>
      </c>
      <c r="B377" s="2">
        <v>19.0</v>
      </c>
      <c r="C377" s="1" t="s">
        <v>946</v>
      </c>
      <c r="D377" s="1" t="s">
        <v>947</v>
      </c>
      <c r="E377" s="3">
        <v>44417.0</v>
      </c>
      <c r="F377" s="1" t="s">
        <v>3</v>
      </c>
      <c r="G377" s="4">
        <v>2.19116201E8</v>
      </c>
      <c r="I377" s="2"/>
      <c r="J377" s="1" t="s">
        <v>948</v>
      </c>
      <c r="K377" s="1">
        <v>10.0</v>
      </c>
      <c r="L377" s="1"/>
      <c r="M377" s="5">
        <v>254.79</v>
      </c>
    </row>
    <row r="378" ht="15.75" hidden="1" customHeight="1">
      <c r="A378" s="1" t="s">
        <v>949</v>
      </c>
      <c r="B378" s="2">
        <v>21.0</v>
      </c>
      <c r="C378" s="1" t="s">
        <v>219</v>
      </c>
      <c r="D378" s="1" t="s">
        <v>950</v>
      </c>
      <c r="E378" s="3">
        <v>44417.0</v>
      </c>
      <c r="F378" s="1" t="s">
        <v>3</v>
      </c>
      <c r="G378" s="4">
        <v>2.19116201E8</v>
      </c>
      <c r="I378" s="2"/>
      <c r="J378" s="1" t="s">
        <v>124</v>
      </c>
      <c r="K378" s="1">
        <v>100.0</v>
      </c>
      <c r="L378" s="1"/>
      <c r="M378" s="5">
        <v>100.0</v>
      </c>
    </row>
    <row r="379" ht="15.75" hidden="1" customHeight="1">
      <c r="A379" s="1" t="s">
        <v>951</v>
      </c>
      <c r="B379" s="2">
        <v>25.0</v>
      </c>
      <c r="C379" s="1" t="s">
        <v>952</v>
      </c>
      <c r="D379" s="1" t="s">
        <v>953</v>
      </c>
      <c r="E379" s="3">
        <v>44417.0</v>
      </c>
      <c r="F379" s="1" t="s">
        <v>3</v>
      </c>
      <c r="G379" s="4">
        <v>2.19116201E8</v>
      </c>
      <c r="I379" s="2"/>
      <c r="J379" s="1" t="s">
        <v>124</v>
      </c>
      <c r="K379" s="1">
        <v>10.0</v>
      </c>
      <c r="L379" s="1"/>
      <c r="M379" s="5">
        <v>125.89</v>
      </c>
    </row>
    <row r="380" ht="15.75" hidden="1" customHeight="1">
      <c r="A380" s="1" t="s">
        <v>954</v>
      </c>
      <c r="B380" s="2">
        <v>27.0</v>
      </c>
      <c r="C380" s="1" t="s">
        <v>449</v>
      </c>
      <c r="D380" s="1" t="s">
        <v>955</v>
      </c>
      <c r="E380" s="3">
        <v>44417.0</v>
      </c>
      <c r="F380" s="1" t="s">
        <v>3</v>
      </c>
      <c r="G380" s="4">
        <v>2.19116201E8</v>
      </c>
      <c r="I380" s="2"/>
      <c r="J380" s="1" t="s">
        <v>9</v>
      </c>
      <c r="K380" s="1">
        <v>125.0</v>
      </c>
      <c r="L380" s="1"/>
      <c r="M380" s="5">
        <v>100.0</v>
      </c>
    </row>
    <row r="381" ht="15.75" hidden="1" customHeight="1">
      <c r="A381" s="1" t="s">
        <v>956</v>
      </c>
      <c r="B381" s="2">
        <v>30.0</v>
      </c>
      <c r="C381" s="1" t="s">
        <v>219</v>
      </c>
      <c r="D381" s="1" t="s">
        <v>957</v>
      </c>
      <c r="E381" s="3">
        <v>44417.0</v>
      </c>
      <c r="F381" s="1" t="s">
        <v>3</v>
      </c>
      <c r="G381" s="4">
        <v>2.19116201E8</v>
      </c>
      <c r="I381" s="2"/>
      <c r="J381" s="1" t="s">
        <v>124</v>
      </c>
      <c r="K381" s="1">
        <v>100.0</v>
      </c>
      <c r="L381" s="1"/>
      <c r="M381" s="5">
        <v>100.0</v>
      </c>
    </row>
    <row r="382" ht="15.75" hidden="1" customHeight="1">
      <c r="A382" s="1" t="s">
        <v>794</v>
      </c>
      <c r="B382" s="2">
        <v>231.0</v>
      </c>
      <c r="C382" s="1" t="s">
        <v>422</v>
      </c>
      <c r="D382" s="1" t="s">
        <v>795</v>
      </c>
      <c r="E382" s="3">
        <v>44533.0</v>
      </c>
      <c r="F382" s="1" t="s">
        <v>3</v>
      </c>
      <c r="G382" s="4">
        <v>2.19119211E8</v>
      </c>
      <c r="H382" s="1" t="s">
        <v>958</v>
      </c>
      <c r="I382" s="2"/>
      <c r="J382" s="1" t="s">
        <v>124</v>
      </c>
      <c r="K382" s="1">
        <v>204.78</v>
      </c>
      <c r="L382" s="1"/>
      <c r="M382" s="5">
        <v>104.0</v>
      </c>
    </row>
    <row r="383" ht="15.75" hidden="1" customHeight="1">
      <c r="A383" s="1" t="s">
        <v>959</v>
      </c>
      <c r="B383" s="2">
        <v>211.0</v>
      </c>
      <c r="C383" s="1" t="s">
        <v>173</v>
      </c>
      <c r="D383" s="1" t="s">
        <v>960</v>
      </c>
      <c r="E383" s="3">
        <v>44501.0</v>
      </c>
      <c r="F383" s="1" t="s">
        <v>3</v>
      </c>
      <c r="G383" s="4">
        <v>2.19120211E8</v>
      </c>
      <c r="H383" s="1" t="s">
        <v>961</v>
      </c>
      <c r="I383" s="2"/>
      <c r="J383" s="1" t="s">
        <v>9</v>
      </c>
      <c r="K383" s="1">
        <v>120.0</v>
      </c>
      <c r="L383" s="1"/>
      <c r="M383" s="5">
        <v>79.25</v>
      </c>
    </row>
    <row r="384" ht="15.75" hidden="1" customHeight="1">
      <c r="A384" s="1" t="s">
        <v>792</v>
      </c>
      <c r="B384" s="2">
        <v>212.0</v>
      </c>
      <c r="C384" s="1" t="s">
        <v>219</v>
      </c>
      <c r="D384" s="1" t="s">
        <v>793</v>
      </c>
      <c r="E384" s="3">
        <v>44508.0</v>
      </c>
      <c r="F384" s="1" t="s">
        <v>3</v>
      </c>
      <c r="G384" s="4">
        <v>2.19120211E8</v>
      </c>
      <c r="H384" s="1" t="s">
        <v>961</v>
      </c>
      <c r="I384" s="2"/>
      <c r="J384" s="1" t="s">
        <v>124</v>
      </c>
      <c r="K384" s="1">
        <v>24.86</v>
      </c>
      <c r="L384" s="1"/>
      <c r="M384" s="5">
        <v>100.0</v>
      </c>
    </row>
    <row r="385" ht="15.75" hidden="1" customHeight="1">
      <c r="A385" s="1" t="s">
        <v>794</v>
      </c>
      <c r="B385" s="2">
        <v>231.0</v>
      </c>
      <c r="C385" s="1" t="s">
        <v>422</v>
      </c>
      <c r="D385" s="1" t="s">
        <v>795</v>
      </c>
      <c r="E385" s="3">
        <v>44533.0</v>
      </c>
      <c r="F385" s="1" t="s">
        <v>3</v>
      </c>
      <c r="G385" s="4">
        <v>2.19120211E8</v>
      </c>
      <c r="H385" s="1" t="s">
        <v>961</v>
      </c>
      <c r="I385" s="2"/>
      <c r="J385" s="1" t="s">
        <v>124</v>
      </c>
      <c r="K385" s="1">
        <v>904.73</v>
      </c>
      <c r="L385" s="1"/>
      <c r="M385" s="5">
        <v>104.0</v>
      </c>
    </row>
    <row r="386" ht="15.75" hidden="1" customHeight="1">
      <c r="A386" s="1" t="s">
        <v>962</v>
      </c>
      <c r="B386" s="2">
        <v>237.0</v>
      </c>
      <c r="C386" s="1" t="s">
        <v>122</v>
      </c>
      <c r="D386" s="1" t="s">
        <v>963</v>
      </c>
      <c r="E386" s="3">
        <v>44539.0</v>
      </c>
      <c r="F386" s="1" t="s">
        <v>3</v>
      </c>
      <c r="G386" s="4">
        <v>2.19120211E8</v>
      </c>
      <c r="H386" s="1" t="s">
        <v>961</v>
      </c>
      <c r="I386" s="2"/>
      <c r="J386" s="1" t="s">
        <v>124</v>
      </c>
      <c r="K386" s="1">
        <v>50.0</v>
      </c>
      <c r="L386" s="1"/>
      <c r="M386" s="5">
        <v>126.83</v>
      </c>
    </row>
    <row r="387" ht="15.75" hidden="1" customHeight="1">
      <c r="A387" s="1" t="s">
        <v>964</v>
      </c>
      <c r="B387" s="2">
        <v>240.0</v>
      </c>
      <c r="C387" s="1" t="s">
        <v>500</v>
      </c>
      <c r="D387" s="1" t="s">
        <v>965</v>
      </c>
      <c r="E387" s="3">
        <v>44540.0</v>
      </c>
      <c r="F387" s="1" t="s">
        <v>3</v>
      </c>
      <c r="G387" s="4">
        <v>2.19120211E8</v>
      </c>
      <c r="H387" s="1" t="s">
        <v>961</v>
      </c>
      <c r="I387" s="2"/>
      <c r="J387" s="1" t="s">
        <v>416</v>
      </c>
      <c r="K387" s="1">
        <v>15.0</v>
      </c>
      <c r="L387" s="1"/>
      <c r="M387" s="5">
        <v>159.19</v>
      </c>
    </row>
    <row r="388" ht="15.75" hidden="1" customHeight="1">
      <c r="A388" s="1" t="s">
        <v>966</v>
      </c>
      <c r="B388" s="2">
        <v>241.0</v>
      </c>
      <c r="C388" s="1" t="s">
        <v>132</v>
      </c>
      <c r="D388" s="1" t="s">
        <v>967</v>
      </c>
      <c r="E388" s="3">
        <v>44540.0</v>
      </c>
      <c r="F388" s="1" t="s">
        <v>3</v>
      </c>
      <c r="G388" s="4">
        <v>2.19120211E8</v>
      </c>
      <c r="H388" s="1" t="s">
        <v>961</v>
      </c>
      <c r="I388" s="2"/>
      <c r="J388" s="1" t="s">
        <v>9</v>
      </c>
      <c r="K388" s="1">
        <v>3.0</v>
      </c>
      <c r="L388" s="1"/>
      <c r="M388" s="5">
        <v>122.0</v>
      </c>
    </row>
    <row r="389" ht="15.75" hidden="1" customHeight="1">
      <c r="A389" s="1" t="s">
        <v>968</v>
      </c>
      <c r="B389" s="2">
        <v>56.0</v>
      </c>
      <c r="C389" s="1" t="s">
        <v>503</v>
      </c>
      <c r="D389" s="1" t="s">
        <v>969</v>
      </c>
      <c r="E389" s="3">
        <v>44418.0</v>
      </c>
      <c r="F389" s="1" t="s">
        <v>3</v>
      </c>
      <c r="G389" s="4">
        <v>2.19121201E8</v>
      </c>
      <c r="I389" s="2"/>
      <c r="J389" s="1" t="s">
        <v>124</v>
      </c>
      <c r="K389" s="1">
        <v>1200.0</v>
      </c>
      <c r="L389" s="1"/>
      <c r="M389" s="5">
        <v>165.0</v>
      </c>
    </row>
    <row r="390" ht="15.75" hidden="1" customHeight="1">
      <c r="A390" s="1" t="s">
        <v>970</v>
      </c>
      <c r="B390" s="2">
        <v>44.0</v>
      </c>
      <c r="C390" s="1" t="s">
        <v>399</v>
      </c>
      <c r="D390" s="1" t="s">
        <v>971</v>
      </c>
      <c r="E390" s="3">
        <v>44417.0</v>
      </c>
      <c r="F390" s="1" t="s">
        <v>3</v>
      </c>
      <c r="G390" s="4">
        <v>2.19122201E8</v>
      </c>
      <c r="I390" s="2"/>
      <c r="J390" s="1" t="s">
        <v>124</v>
      </c>
      <c r="K390" s="1">
        <v>900.0</v>
      </c>
      <c r="L390" s="1"/>
      <c r="M390" s="5">
        <v>113.0</v>
      </c>
    </row>
    <row r="391" ht="15.75" hidden="1" customHeight="1">
      <c r="A391" s="1" t="s">
        <v>972</v>
      </c>
      <c r="B391" s="2">
        <v>109.0</v>
      </c>
      <c r="C391" s="1" t="s">
        <v>973</v>
      </c>
      <c r="D391" s="1" t="s">
        <v>974</v>
      </c>
      <c r="E391" s="3">
        <v>44419.0</v>
      </c>
      <c r="F391" s="1" t="s">
        <v>3</v>
      </c>
      <c r="G391" s="4">
        <v>2.19122201E8</v>
      </c>
      <c r="H391" s="1" t="s">
        <v>975</v>
      </c>
      <c r="I391" s="2"/>
      <c r="J391" s="1" t="s">
        <v>124</v>
      </c>
      <c r="K391" s="1">
        <v>25.0</v>
      </c>
      <c r="L391" s="1"/>
      <c r="M391" s="5">
        <v>126.44</v>
      </c>
    </row>
    <row r="392" ht="15.75" hidden="1" customHeight="1">
      <c r="A392" s="1" t="s">
        <v>792</v>
      </c>
      <c r="B392" s="2">
        <v>212.0</v>
      </c>
      <c r="C392" s="1" t="s">
        <v>219</v>
      </c>
      <c r="D392" s="1" t="s">
        <v>793</v>
      </c>
      <c r="E392" s="3">
        <v>44508.0</v>
      </c>
      <c r="F392" s="1" t="s">
        <v>3</v>
      </c>
      <c r="G392" s="4">
        <v>2.19122211E8</v>
      </c>
      <c r="H392" s="1" t="s">
        <v>976</v>
      </c>
      <c r="I392" s="2"/>
      <c r="J392" s="1" t="s">
        <v>124</v>
      </c>
      <c r="K392" s="1">
        <v>12.41</v>
      </c>
      <c r="L392" s="1"/>
      <c r="M392" s="5">
        <v>100.0</v>
      </c>
    </row>
    <row r="393" ht="15.75" hidden="1" customHeight="1">
      <c r="A393" s="1" t="s">
        <v>794</v>
      </c>
      <c r="B393" s="2">
        <v>231.0</v>
      </c>
      <c r="C393" s="1" t="s">
        <v>422</v>
      </c>
      <c r="D393" s="1" t="s">
        <v>795</v>
      </c>
      <c r="E393" s="3">
        <v>44533.0</v>
      </c>
      <c r="F393" s="1" t="s">
        <v>3</v>
      </c>
      <c r="G393" s="4">
        <v>2.19122211E8</v>
      </c>
      <c r="H393" s="1" t="s">
        <v>976</v>
      </c>
      <c r="I393" s="2"/>
      <c r="J393" s="1" t="s">
        <v>124</v>
      </c>
      <c r="K393" s="1">
        <v>281.9</v>
      </c>
      <c r="L393" s="1"/>
      <c r="M393" s="5">
        <v>104.0</v>
      </c>
    </row>
    <row r="394" ht="15.75" hidden="1" customHeight="1">
      <c r="A394" s="1" t="s">
        <v>977</v>
      </c>
      <c r="B394" s="2">
        <v>429.0</v>
      </c>
      <c r="C394" s="1" t="s">
        <v>503</v>
      </c>
      <c r="D394" s="1" t="s">
        <v>978</v>
      </c>
      <c r="E394" s="3">
        <v>44812.0</v>
      </c>
      <c r="F394" s="1" t="s">
        <v>3</v>
      </c>
      <c r="G394" s="4">
        <v>2.19125221E8</v>
      </c>
      <c r="H394" s="1" t="s">
        <v>979</v>
      </c>
      <c r="I394" s="2"/>
      <c r="J394" s="1" t="s">
        <v>124</v>
      </c>
      <c r="K394" s="1">
        <v>1510.0</v>
      </c>
      <c r="L394" s="1"/>
      <c r="M394" s="5">
        <v>165.0</v>
      </c>
    </row>
    <row r="395" ht="15.75" hidden="1" customHeight="1">
      <c r="A395" s="1" t="s">
        <v>980</v>
      </c>
      <c r="B395" s="2">
        <v>485.0</v>
      </c>
      <c r="C395" s="1" t="s">
        <v>981</v>
      </c>
      <c r="D395" s="1" t="s">
        <v>982</v>
      </c>
      <c r="E395" s="3">
        <v>44914.0</v>
      </c>
      <c r="F395" s="1" t="s">
        <v>3</v>
      </c>
      <c r="G395" s="4">
        <v>2.19127221E8</v>
      </c>
      <c r="H395" s="1" t="s">
        <v>983</v>
      </c>
      <c r="I395" s="2"/>
      <c r="J395" s="1" t="s">
        <v>9</v>
      </c>
      <c r="K395" s="1">
        <v>40.0</v>
      </c>
      <c r="L395" s="1"/>
      <c r="M395" s="5">
        <v>119.65</v>
      </c>
    </row>
    <row r="396" ht="15.75" hidden="1" customHeight="1">
      <c r="A396" s="1" t="s">
        <v>984</v>
      </c>
      <c r="B396" s="2">
        <v>489.0</v>
      </c>
      <c r="C396" s="1" t="s">
        <v>80</v>
      </c>
      <c r="D396" s="1" t="s">
        <v>985</v>
      </c>
      <c r="E396" s="3">
        <v>44914.0</v>
      </c>
      <c r="F396" s="1" t="s">
        <v>3</v>
      </c>
      <c r="G396" s="4">
        <v>2.19127221E8</v>
      </c>
      <c r="H396" s="1" t="s">
        <v>983</v>
      </c>
      <c r="I396" s="2"/>
      <c r="J396" s="1" t="s">
        <v>623</v>
      </c>
      <c r="K396" s="1">
        <v>1.0</v>
      </c>
      <c r="L396" s="1"/>
      <c r="M396" s="5">
        <v>151.89</v>
      </c>
    </row>
    <row r="397" ht="15.75" hidden="1" customHeight="1">
      <c r="A397" s="1" t="s">
        <v>986</v>
      </c>
      <c r="B397" s="2">
        <v>491.0</v>
      </c>
      <c r="C397" s="1" t="s">
        <v>449</v>
      </c>
      <c r="D397" s="1" t="s">
        <v>987</v>
      </c>
      <c r="E397" s="3">
        <v>44914.0</v>
      </c>
      <c r="F397" s="1" t="s">
        <v>3</v>
      </c>
      <c r="G397" s="4">
        <v>2.19127221E8</v>
      </c>
      <c r="H397" s="1" t="s">
        <v>983</v>
      </c>
      <c r="I397" s="2"/>
      <c r="J397" s="1" t="s">
        <v>9</v>
      </c>
      <c r="K397" s="1">
        <v>125.0</v>
      </c>
      <c r="L397" s="1"/>
      <c r="M397" s="5">
        <v>105.0</v>
      </c>
    </row>
    <row r="398" ht="15.75" hidden="1" customHeight="1">
      <c r="A398" s="1" t="s">
        <v>988</v>
      </c>
      <c r="B398" s="2">
        <v>644.0</v>
      </c>
      <c r="C398" s="1" t="s">
        <v>80</v>
      </c>
      <c r="D398" s="1" t="s">
        <v>989</v>
      </c>
      <c r="E398" s="1" t="s">
        <v>60</v>
      </c>
      <c r="F398" s="1" t="s">
        <v>3</v>
      </c>
      <c r="G398" s="4">
        <v>2.19127221E8</v>
      </c>
      <c r="H398" s="1" t="s">
        <v>983</v>
      </c>
      <c r="I398" s="2"/>
      <c r="J398" s="1" t="s">
        <v>124</v>
      </c>
      <c r="K398" s="1">
        <v>1.0</v>
      </c>
      <c r="L398" s="1"/>
      <c r="M398" s="5">
        <v>151.89</v>
      </c>
    </row>
    <row r="399" ht="15.75" hidden="1" customHeight="1">
      <c r="A399" s="1" t="s">
        <v>990</v>
      </c>
      <c r="B399" s="2">
        <v>220.0</v>
      </c>
      <c r="C399" s="1" t="s">
        <v>27</v>
      </c>
      <c r="D399" s="1" t="s">
        <v>991</v>
      </c>
      <c r="E399" s="3">
        <v>44522.0</v>
      </c>
      <c r="F399" s="1" t="s">
        <v>86</v>
      </c>
      <c r="G399" s="4">
        <v>2.19131211E8</v>
      </c>
      <c r="H399" s="1" t="s">
        <v>992</v>
      </c>
      <c r="I399" s="2"/>
      <c r="J399" s="1" t="s">
        <v>124</v>
      </c>
      <c r="K399" s="1">
        <v>10.0</v>
      </c>
      <c r="L399" s="1"/>
      <c r="M399" s="5">
        <v>98.74</v>
      </c>
    </row>
    <row r="400" ht="15.75" hidden="1" customHeight="1">
      <c r="A400" s="1" t="s">
        <v>993</v>
      </c>
      <c r="B400" s="2">
        <v>233.0</v>
      </c>
      <c r="C400" s="1" t="s">
        <v>27</v>
      </c>
      <c r="D400" s="1" t="s">
        <v>994</v>
      </c>
      <c r="E400" s="3">
        <v>44533.0</v>
      </c>
      <c r="F400" s="1" t="s">
        <v>3</v>
      </c>
      <c r="G400" s="4">
        <v>2.19131211E8</v>
      </c>
      <c r="H400" s="1" t="s">
        <v>992</v>
      </c>
      <c r="I400" s="2"/>
      <c r="J400" s="1" t="s">
        <v>124</v>
      </c>
      <c r="K400" s="1">
        <v>20.0</v>
      </c>
      <c r="L400" s="1"/>
      <c r="M400" s="5">
        <v>114.35</v>
      </c>
    </row>
    <row r="401" ht="15.75" hidden="1" customHeight="1">
      <c r="A401" s="1" t="s">
        <v>995</v>
      </c>
      <c r="B401" s="2">
        <v>242.0</v>
      </c>
      <c r="C401" s="1" t="s">
        <v>169</v>
      </c>
      <c r="D401" s="1" t="s">
        <v>996</v>
      </c>
      <c r="E401" s="3">
        <v>44543.0</v>
      </c>
      <c r="F401" s="1" t="s">
        <v>3</v>
      </c>
      <c r="G401" s="4">
        <v>2.19131211E8</v>
      </c>
      <c r="H401" s="1" t="s">
        <v>992</v>
      </c>
      <c r="I401" s="2"/>
      <c r="J401" s="1" t="s">
        <v>124</v>
      </c>
      <c r="K401" s="1">
        <v>2250.0</v>
      </c>
      <c r="L401" s="1"/>
      <c r="M401" s="5">
        <v>121.0</v>
      </c>
    </row>
    <row r="402" ht="15.75" hidden="1" customHeight="1">
      <c r="A402" s="1" t="s">
        <v>997</v>
      </c>
      <c r="B402" s="2">
        <v>436.0</v>
      </c>
      <c r="C402" s="1" t="s">
        <v>475</v>
      </c>
      <c r="D402" s="1" t="s">
        <v>998</v>
      </c>
      <c r="E402" s="3">
        <v>44818.0</v>
      </c>
      <c r="F402" s="1" t="s">
        <v>3</v>
      </c>
      <c r="G402" s="4">
        <v>2.19132221E8</v>
      </c>
      <c r="H402" s="1" t="s">
        <v>999</v>
      </c>
      <c r="I402" s="2"/>
      <c r="J402" s="1" t="s">
        <v>124</v>
      </c>
      <c r="K402" s="1">
        <v>50.0</v>
      </c>
      <c r="L402" s="1"/>
      <c r="M402" s="5">
        <v>155.0</v>
      </c>
    </row>
    <row r="403" ht="15.75" hidden="1" customHeight="1">
      <c r="A403" s="1" t="s">
        <v>1000</v>
      </c>
      <c r="B403" s="2">
        <v>252.0</v>
      </c>
      <c r="C403" s="1" t="s">
        <v>27</v>
      </c>
      <c r="D403" s="1" t="s">
        <v>1001</v>
      </c>
      <c r="E403" s="3">
        <v>44557.0</v>
      </c>
      <c r="F403" s="1" t="s">
        <v>3</v>
      </c>
      <c r="G403" s="4">
        <v>2.19134211E8</v>
      </c>
      <c r="H403" s="1" t="s">
        <v>1002</v>
      </c>
      <c r="I403" s="2"/>
      <c r="J403" s="1" t="s">
        <v>124</v>
      </c>
      <c r="K403" s="1">
        <v>500.0</v>
      </c>
      <c r="L403" s="1"/>
      <c r="M403" s="5">
        <v>106.84</v>
      </c>
    </row>
    <row r="404" ht="15.75" hidden="1" customHeight="1">
      <c r="A404" s="1" t="s">
        <v>1003</v>
      </c>
      <c r="B404" s="2">
        <v>438.0</v>
      </c>
      <c r="C404" s="1" t="s">
        <v>422</v>
      </c>
      <c r="D404" s="1" t="s">
        <v>1004</v>
      </c>
      <c r="E404" s="3">
        <v>44825.0</v>
      </c>
      <c r="F404" s="1" t="s">
        <v>3</v>
      </c>
      <c r="G404" s="4">
        <v>2.19134221E8</v>
      </c>
      <c r="H404" s="1" t="s">
        <v>1005</v>
      </c>
      <c r="I404" s="2"/>
      <c r="J404" s="1" t="s">
        <v>124</v>
      </c>
      <c r="K404" s="1">
        <v>1800.0</v>
      </c>
      <c r="L404" s="1"/>
      <c r="M404" s="5">
        <v>104.0</v>
      </c>
    </row>
    <row r="405" ht="15.75" hidden="1" customHeight="1">
      <c r="A405" s="1" t="s">
        <v>1006</v>
      </c>
      <c r="B405" s="2">
        <v>221.0</v>
      </c>
      <c r="C405" s="1" t="s">
        <v>27</v>
      </c>
      <c r="D405" s="1" t="s">
        <v>991</v>
      </c>
      <c r="E405" s="3">
        <v>44522.0</v>
      </c>
      <c r="F405" s="1" t="s">
        <v>86</v>
      </c>
      <c r="G405" s="4">
        <v>2.19135211E8</v>
      </c>
      <c r="H405" s="1" t="s">
        <v>1007</v>
      </c>
      <c r="I405" s="2"/>
      <c r="J405" s="1" t="s">
        <v>531</v>
      </c>
      <c r="K405" s="1">
        <v>25.0</v>
      </c>
      <c r="L405" s="1"/>
      <c r="M405" s="5">
        <v>209.14</v>
      </c>
    </row>
    <row r="406" ht="15.75" hidden="1" customHeight="1">
      <c r="A406" s="1" t="s">
        <v>1008</v>
      </c>
      <c r="B406" s="2">
        <v>295.0</v>
      </c>
      <c r="C406" s="1" t="s">
        <v>27</v>
      </c>
      <c r="D406" s="1" t="s">
        <v>1009</v>
      </c>
      <c r="E406" s="3">
        <v>44622.0</v>
      </c>
      <c r="F406" s="1" t="s">
        <v>3</v>
      </c>
      <c r="G406" s="4">
        <v>2.19135211E8</v>
      </c>
      <c r="H406" s="1" t="s">
        <v>1007</v>
      </c>
      <c r="I406" s="2"/>
      <c r="J406" s="1" t="s">
        <v>440</v>
      </c>
      <c r="K406" s="1">
        <v>5.0</v>
      </c>
      <c r="L406" s="1"/>
      <c r="M406" s="5">
        <v>192.22</v>
      </c>
    </row>
    <row r="407" ht="15.75" hidden="1" customHeight="1">
      <c r="A407" s="1" t="s">
        <v>1010</v>
      </c>
      <c r="B407" s="2">
        <v>300.0</v>
      </c>
      <c r="C407" s="1" t="s">
        <v>27</v>
      </c>
      <c r="D407" s="1" t="s">
        <v>1011</v>
      </c>
      <c r="E407" s="3">
        <v>44628.0</v>
      </c>
      <c r="F407" s="1" t="s">
        <v>3</v>
      </c>
      <c r="G407" s="4">
        <v>2.19135211E8</v>
      </c>
      <c r="H407" s="1" t="s">
        <v>1007</v>
      </c>
      <c r="I407" s="2"/>
      <c r="J407" s="1" t="s">
        <v>531</v>
      </c>
      <c r="K407" s="1">
        <v>25.0</v>
      </c>
      <c r="L407" s="1"/>
      <c r="M407" s="5">
        <v>242.22</v>
      </c>
    </row>
    <row r="408" ht="15.75" hidden="1" customHeight="1">
      <c r="A408" s="1" t="s">
        <v>1012</v>
      </c>
      <c r="B408" s="2">
        <v>442.0</v>
      </c>
      <c r="C408" s="1" t="s">
        <v>797</v>
      </c>
      <c r="D408" s="1" t="s">
        <v>1013</v>
      </c>
      <c r="E408" s="3">
        <v>44846.0</v>
      </c>
      <c r="F408" s="1" t="s">
        <v>3</v>
      </c>
      <c r="G408" s="4">
        <v>2.19135221E8</v>
      </c>
      <c r="H408" s="1" t="s">
        <v>1014</v>
      </c>
      <c r="I408" s="2"/>
      <c r="J408" s="1" t="s">
        <v>124</v>
      </c>
      <c r="K408" s="1">
        <v>12.0</v>
      </c>
      <c r="L408" s="1"/>
      <c r="M408" s="5">
        <v>105.0</v>
      </c>
    </row>
    <row r="409" ht="15.75" hidden="1" customHeight="1">
      <c r="A409" s="1" t="s">
        <v>1015</v>
      </c>
      <c r="B409" s="2">
        <v>238.0</v>
      </c>
      <c r="C409" s="1" t="s">
        <v>449</v>
      </c>
      <c r="D409" s="1" t="s">
        <v>1016</v>
      </c>
      <c r="E409" s="3">
        <v>44539.0</v>
      </c>
      <c r="F409" s="1" t="s">
        <v>3</v>
      </c>
      <c r="G409" s="4">
        <v>2.19136211E8</v>
      </c>
      <c r="H409" s="1" t="s">
        <v>1017</v>
      </c>
      <c r="I409" s="2"/>
      <c r="J409" s="1" t="s">
        <v>124</v>
      </c>
      <c r="K409" s="1">
        <v>5.0</v>
      </c>
      <c r="L409" s="1"/>
      <c r="M409" s="5">
        <v>140.54</v>
      </c>
    </row>
    <row r="410" ht="15.75" hidden="1" customHeight="1">
      <c r="A410" s="1" t="s">
        <v>1018</v>
      </c>
      <c r="B410" s="2">
        <v>243.0</v>
      </c>
      <c r="C410" s="1" t="s">
        <v>173</v>
      </c>
      <c r="D410" s="1" t="s">
        <v>1019</v>
      </c>
      <c r="E410" s="3">
        <v>44544.0</v>
      </c>
      <c r="F410" s="1" t="s">
        <v>3</v>
      </c>
      <c r="G410" s="4">
        <v>2.19136211E8</v>
      </c>
      <c r="H410" s="1" t="s">
        <v>1017</v>
      </c>
      <c r="I410" s="2"/>
      <c r="J410" s="1" t="s">
        <v>9</v>
      </c>
      <c r="K410" s="1">
        <v>120.0</v>
      </c>
      <c r="L410" s="1"/>
      <c r="M410" s="5">
        <v>79.25</v>
      </c>
    </row>
    <row r="411" ht="15.75" hidden="1" customHeight="1">
      <c r="A411" s="1" t="s">
        <v>1020</v>
      </c>
      <c r="B411" s="2">
        <v>245.0</v>
      </c>
      <c r="C411" s="1" t="s">
        <v>858</v>
      </c>
      <c r="D411" s="1" t="s">
        <v>1021</v>
      </c>
      <c r="E411" s="3">
        <v>44547.0</v>
      </c>
      <c r="F411" s="1" t="s">
        <v>3</v>
      </c>
      <c r="G411" s="4">
        <v>2.19136211E8</v>
      </c>
      <c r="H411" s="1" t="s">
        <v>1017</v>
      </c>
      <c r="I411" s="2"/>
      <c r="J411" s="1" t="s">
        <v>9</v>
      </c>
      <c r="K411" s="1">
        <v>10.0</v>
      </c>
      <c r="L411" s="1"/>
      <c r="M411" s="5">
        <v>115.0</v>
      </c>
    </row>
    <row r="412" ht="15.75" hidden="1" customHeight="1">
      <c r="A412" s="1" t="s">
        <v>1022</v>
      </c>
      <c r="B412" s="2">
        <v>248.0</v>
      </c>
      <c r="C412" s="1" t="s">
        <v>820</v>
      </c>
      <c r="D412" s="1" t="s">
        <v>1023</v>
      </c>
      <c r="E412" s="3">
        <v>44552.0</v>
      </c>
      <c r="F412" s="1" t="s">
        <v>3</v>
      </c>
      <c r="G412" s="4">
        <v>2.19136211E8</v>
      </c>
      <c r="H412" s="1" t="s">
        <v>1017</v>
      </c>
      <c r="I412" s="2"/>
      <c r="J412" s="1" t="s">
        <v>9</v>
      </c>
      <c r="K412" s="1">
        <v>1.0</v>
      </c>
      <c r="L412" s="1"/>
      <c r="M412" s="5">
        <v>161.31</v>
      </c>
    </row>
    <row r="413" ht="15.75" hidden="1" customHeight="1">
      <c r="A413" s="1" t="s">
        <v>1024</v>
      </c>
      <c r="B413" s="2">
        <v>249.0</v>
      </c>
      <c r="C413" s="1" t="s">
        <v>820</v>
      </c>
      <c r="D413" s="1" t="s">
        <v>1023</v>
      </c>
      <c r="E413" s="3">
        <v>44552.0</v>
      </c>
      <c r="F413" s="1" t="s">
        <v>3</v>
      </c>
      <c r="G413" s="4">
        <v>2.19136211E8</v>
      </c>
      <c r="H413" s="1" t="s">
        <v>1017</v>
      </c>
      <c r="I413" s="2"/>
      <c r="J413" s="1" t="s">
        <v>9</v>
      </c>
      <c r="K413" s="1">
        <v>20.0</v>
      </c>
      <c r="L413" s="1"/>
      <c r="M413" s="5">
        <v>127.25</v>
      </c>
    </row>
    <row r="414" ht="15.75" hidden="1" customHeight="1">
      <c r="A414" s="1" t="s">
        <v>1025</v>
      </c>
      <c r="B414" s="2">
        <v>253.0</v>
      </c>
      <c r="C414" s="1" t="s">
        <v>513</v>
      </c>
      <c r="D414" s="1" t="s">
        <v>1026</v>
      </c>
      <c r="E414" s="3">
        <v>44557.0</v>
      </c>
      <c r="F414" s="1" t="s">
        <v>3</v>
      </c>
      <c r="G414" s="4">
        <v>2.19136211E8</v>
      </c>
      <c r="H414" s="1" t="s">
        <v>1017</v>
      </c>
      <c r="I414" s="2"/>
      <c r="J414" s="1" t="s">
        <v>124</v>
      </c>
      <c r="K414" s="1">
        <v>20.0</v>
      </c>
      <c r="L414" s="1"/>
      <c r="M414" s="5">
        <v>158.42</v>
      </c>
    </row>
    <row r="415" ht="15.75" hidden="1" customHeight="1">
      <c r="A415" s="1" t="s">
        <v>1027</v>
      </c>
      <c r="B415" s="2">
        <v>254.0</v>
      </c>
      <c r="C415" s="1" t="s">
        <v>815</v>
      </c>
      <c r="D415" s="1" t="s">
        <v>1028</v>
      </c>
      <c r="E415" s="3">
        <v>44557.0</v>
      </c>
      <c r="F415" s="1" t="s">
        <v>3</v>
      </c>
      <c r="G415" s="4">
        <v>2.19136211E8</v>
      </c>
      <c r="H415" s="1" t="s">
        <v>1017</v>
      </c>
      <c r="I415" s="2"/>
      <c r="J415" s="1" t="s">
        <v>9</v>
      </c>
      <c r="K415" s="1">
        <v>5.0</v>
      </c>
      <c r="L415" s="1"/>
      <c r="M415" s="5">
        <v>125.04</v>
      </c>
    </row>
    <row r="416" ht="15.75" hidden="1" customHeight="1">
      <c r="A416" s="1" t="s">
        <v>1029</v>
      </c>
      <c r="B416" s="2">
        <v>258.0</v>
      </c>
      <c r="C416" s="1" t="s">
        <v>475</v>
      </c>
      <c r="D416" s="1" t="s">
        <v>1030</v>
      </c>
      <c r="E416" s="3">
        <v>44567.0</v>
      </c>
      <c r="F416" s="1" t="s">
        <v>3</v>
      </c>
      <c r="G416" s="4">
        <v>2.19136211E8</v>
      </c>
      <c r="H416" s="1" t="s">
        <v>1017</v>
      </c>
      <c r="I416" s="2"/>
      <c r="J416" s="1" t="s">
        <v>124</v>
      </c>
      <c r="K416" s="1">
        <v>50.0</v>
      </c>
      <c r="L416" s="1"/>
      <c r="M416" s="5">
        <v>155.0</v>
      </c>
    </row>
    <row r="417" ht="15.75" hidden="1" customHeight="1">
      <c r="A417" s="1" t="s">
        <v>1031</v>
      </c>
      <c r="B417" s="2">
        <v>265.0</v>
      </c>
      <c r="C417" s="1" t="s">
        <v>513</v>
      </c>
      <c r="D417" s="1" t="s">
        <v>1032</v>
      </c>
      <c r="E417" s="3">
        <v>44573.0</v>
      </c>
      <c r="F417" s="1" t="s">
        <v>3</v>
      </c>
      <c r="G417" s="4">
        <v>2.19136211E8</v>
      </c>
      <c r="H417" s="1" t="s">
        <v>1017</v>
      </c>
      <c r="I417" s="2"/>
      <c r="J417" s="1" t="s">
        <v>124</v>
      </c>
      <c r="K417" s="1">
        <v>20.0</v>
      </c>
      <c r="L417" s="1"/>
      <c r="M417" s="5">
        <v>158.42</v>
      </c>
    </row>
    <row r="418" ht="15.75" hidden="1" customHeight="1">
      <c r="A418" s="1" t="s">
        <v>1033</v>
      </c>
      <c r="B418" s="2">
        <v>321.0</v>
      </c>
      <c r="C418" s="1" t="s">
        <v>173</v>
      </c>
      <c r="D418" s="1" t="s">
        <v>1034</v>
      </c>
      <c r="E418" s="3">
        <v>44659.0</v>
      </c>
      <c r="F418" s="1" t="s">
        <v>3</v>
      </c>
      <c r="G418" s="4">
        <v>2.19139211E8</v>
      </c>
      <c r="H418" s="1" t="s">
        <v>1035</v>
      </c>
      <c r="I418" s="2"/>
      <c r="J418" s="1" t="s">
        <v>9</v>
      </c>
      <c r="K418" s="1">
        <v>300.0</v>
      </c>
      <c r="L418" s="1"/>
      <c r="M418" s="5">
        <v>79.25</v>
      </c>
    </row>
    <row r="419" ht="15.75" hidden="1" customHeight="1">
      <c r="A419" s="1" t="s">
        <v>1036</v>
      </c>
      <c r="B419" s="2">
        <v>339.0</v>
      </c>
      <c r="C419" s="1" t="s">
        <v>1037</v>
      </c>
      <c r="D419" s="1" t="s">
        <v>1038</v>
      </c>
      <c r="E419" s="3">
        <v>44690.0</v>
      </c>
      <c r="F419" s="1" t="s">
        <v>3</v>
      </c>
      <c r="G419" s="4">
        <v>2.19139211E8</v>
      </c>
      <c r="H419" s="1" t="s">
        <v>1035</v>
      </c>
      <c r="I419" s="2"/>
      <c r="J419" s="1" t="s">
        <v>9</v>
      </c>
      <c r="K419" s="1">
        <v>1.0</v>
      </c>
      <c r="L419" s="1"/>
      <c r="M419" s="5">
        <v>142.24</v>
      </c>
    </row>
    <row r="420" ht="15.75" hidden="1" customHeight="1">
      <c r="A420" s="1" t="s">
        <v>1039</v>
      </c>
      <c r="B420" s="2">
        <v>222.0</v>
      </c>
      <c r="C420" s="1" t="s">
        <v>706</v>
      </c>
      <c r="D420" s="1" t="s">
        <v>1040</v>
      </c>
      <c r="E420" s="3">
        <v>44522.0</v>
      </c>
      <c r="F420" s="1" t="s">
        <v>3</v>
      </c>
      <c r="G420" s="4">
        <v>2.19140211E8</v>
      </c>
      <c r="H420" s="1" t="s">
        <v>1041</v>
      </c>
      <c r="I420" s="2"/>
      <c r="J420" s="1" t="s">
        <v>124</v>
      </c>
      <c r="K420" s="1">
        <v>36.0</v>
      </c>
      <c r="L420" s="1"/>
      <c r="M420" s="5">
        <v>165.0</v>
      </c>
    </row>
    <row r="421" ht="15.75" hidden="1" customHeight="1">
      <c r="A421" s="1" t="s">
        <v>1042</v>
      </c>
      <c r="B421" s="2">
        <v>224.0</v>
      </c>
      <c r="C421" s="1" t="s">
        <v>518</v>
      </c>
      <c r="D421" s="1" t="s">
        <v>1043</v>
      </c>
      <c r="E421" s="3">
        <v>44523.0</v>
      </c>
      <c r="F421" s="1" t="s">
        <v>3</v>
      </c>
      <c r="G421" s="4">
        <v>2.19140211E8</v>
      </c>
      <c r="H421" s="1" t="s">
        <v>1041</v>
      </c>
      <c r="I421" s="2"/>
      <c r="J421" s="1" t="s">
        <v>124</v>
      </c>
      <c r="K421" s="1">
        <v>5.0</v>
      </c>
      <c r="L421" s="1"/>
      <c r="M421" s="5">
        <v>132.19</v>
      </c>
    </row>
    <row r="422" ht="15.75" hidden="1" customHeight="1">
      <c r="A422" s="1" t="s">
        <v>1044</v>
      </c>
      <c r="B422" s="2">
        <v>225.0</v>
      </c>
      <c r="C422" s="1" t="s">
        <v>1045</v>
      </c>
      <c r="D422" s="1" t="s">
        <v>1046</v>
      </c>
      <c r="E422" s="3">
        <v>44529.0</v>
      </c>
      <c r="F422" s="1" t="s">
        <v>3</v>
      </c>
      <c r="G422" s="4">
        <v>2.19140211E8</v>
      </c>
      <c r="H422" s="1" t="s">
        <v>1041</v>
      </c>
      <c r="I422" s="2"/>
      <c r="J422" s="1" t="s">
        <v>9</v>
      </c>
      <c r="K422" s="1">
        <v>1.0</v>
      </c>
      <c r="L422" s="1"/>
      <c r="M422" s="5">
        <v>165.82</v>
      </c>
    </row>
    <row r="423" ht="15.75" hidden="1" customHeight="1">
      <c r="A423" s="1" t="s">
        <v>1047</v>
      </c>
      <c r="B423" s="2">
        <v>226.0</v>
      </c>
      <c r="C423" s="1" t="s">
        <v>449</v>
      </c>
      <c r="D423" s="1" t="s">
        <v>1048</v>
      </c>
      <c r="E423" s="3">
        <v>44530.0</v>
      </c>
      <c r="F423" s="1" t="s">
        <v>3</v>
      </c>
      <c r="G423" s="4">
        <v>2.19140211E8</v>
      </c>
      <c r="H423" s="1" t="s">
        <v>1041</v>
      </c>
      <c r="I423" s="2"/>
      <c r="J423" s="1" t="s">
        <v>9</v>
      </c>
      <c r="K423" s="1">
        <v>125.0</v>
      </c>
      <c r="L423" s="1"/>
      <c r="M423" s="5">
        <v>100.0</v>
      </c>
    </row>
    <row r="424" ht="15.75" hidden="1" customHeight="1">
      <c r="A424" s="1" t="s">
        <v>1049</v>
      </c>
      <c r="B424" s="2">
        <v>227.0</v>
      </c>
      <c r="C424" s="1" t="s">
        <v>219</v>
      </c>
      <c r="D424" s="1" t="s">
        <v>1050</v>
      </c>
      <c r="E424" s="3">
        <v>44530.0</v>
      </c>
      <c r="F424" s="1" t="s">
        <v>3</v>
      </c>
      <c r="G424" s="4">
        <v>2.19140211E8</v>
      </c>
      <c r="H424" s="1" t="s">
        <v>1041</v>
      </c>
      <c r="I424" s="2"/>
      <c r="J424" s="1" t="s">
        <v>124</v>
      </c>
      <c r="K424" s="1">
        <v>100.0</v>
      </c>
      <c r="L424" s="1"/>
      <c r="M424" s="5">
        <v>100.0</v>
      </c>
    </row>
    <row r="425" ht="15.75" hidden="1" customHeight="1">
      <c r="A425" s="1" t="s">
        <v>1051</v>
      </c>
      <c r="B425" s="2">
        <v>228.0</v>
      </c>
      <c r="C425" s="1" t="s">
        <v>219</v>
      </c>
      <c r="D425" s="1" t="s">
        <v>1052</v>
      </c>
      <c r="E425" s="3">
        <v>44530.0</v>
      </c>
      <c r="F425" s="1" t="s">
        <v>3</v>
      </c>
      <c r="G425" s="4">
        <v>2.19140211E8</v>
      </c>
      <c r="H425" s="1" t="s">
        <v>1041</v>
      </c>
      <c r="I425" s="2"/>
      <c r="J425" s="1" t="s">
        <v>124</v>
      </c>
      <c r="K425" s="1">
        <v>150.0</v>
      </c>
      <c r="L425" s="1"/>
      <c r="M425" s="5">
        <v>100.0</v>
      </c>
    </row>
    <row r="426" ht="15.75" hidden="1" customHeight="1">
      <c r="A426" s="1" t="s">
        <v>1053</v>
      </c>
      <c r="B426" s="2">
        <v>229.0</v>
      </c>
      <c r="C426" s="1" t="s">
        <v>219</v>
      </c>
      <c r="D426" s="1" t="s">
        <v>1054</v>
      </c>
      <c r="E426" s="3">
        <v>44530.0</v>
      </c>
      <c r="F426" s="1" t="s">
        <v>3</v>
      </c>
      <c r="G426" s="4">
        <v>2.19140211E8</v>
      </c>
      <c r="H426" s="1" t="s">
        <v>1041</v>
      </c>
      <c r="I426" s="2"/>
      <c r="J426" s="1" t="s">
        <v>124</v>
      </c>
      <c r="K426" s="1">
        <v>100.0</v>
      </c>
      <c r="L426" s="1"/>
      <c r="M426" s="5">
        <v>100.0</v>
      </c>
    </row>
    <row r="427" ht="15.75" hidden="1" customHeight="1">
      <c r="A427" s="1" t="s">
        <v>1055</v>
      </c>
      <c r="B427" s="2">
        <v>230.0</v>
      </c>
      <c r="C427" s="1" t="s">
        <v>219</v>
      </c>
      <c r="D427" s="1" t="s">
        <v>1056</v>
      </c>
      <c r="E427" s="3">
        <v>44530.0</v>
      </c>
      <c r="F427" s="1" t="s">
        <v>3</v>
      </c>
      <c r="G427" s="4">
        <v>2.19140211E8</v>
      </c>
      <c r="H427" s="1" t="s">
        <v>1041</v>
      </c>
      <c r="I427" s="2"/>
      <c r="J427" s="1" t="s">
        <v>124</v>
      </c>
      <c r="K427" s="1">
        <v>10.0</v>
      </c>
      <c r="L427" s="1"/>
      <c r="M427" s="5">
        <v>100.0</v>
      </c>
    </row>
    <row r="428" ht="15.75" hidden="1" customHeight="1">
      <c r="A428" s="1" t="s">
        <v>1057</v>
      </c>
      <c r="B428" s="2">
        <v>232.0</v>
      </c>
      <c r="C428" s="1" t="s">
        <v>1058</v>
      </c>
      <c r="D428" s="1" t="s">
        <v>1059</v>
      </c>
      <c r="E428" s="3">
        <v>44533.0</v>
      </c>
      <c r="F428" s="1" t="s">
        <v>3</v>
      </c>
      <c r="G428" s="4">
        <v>2.19140211E8</v>
      </c>
      <c r="H428" s="1" t="s">
        <v>1041</v>
      </c>
      <c r="I428" s="2"/>
      <c r="J428" s="1" t="s">
        <v>9</v>
      </c>
      <c r="K428" s="1">
        <v>50.0</v>
      </c>
      <c r="L428" s="1"/>
      <c r="M428" s="5">
        <v>142.5</v>
      </c>
    </row>
    <row r="429" ht="15.75" hidden="1" customHeight="1">
      <c r="A429" s="1" t="s">
        <v>1060</v>
      </c>
      <c r="B429" s="2">
        <v>256.0</v>
      </c>
      <c r="C429" s="1" t="s">
        <v>169</v>
      </c>
      <c r="D429" s="1" t="s">
        <v>1061</v>
      </c>
      <c r="E429" s="3">
        <v>44560.0</v>
      </c>
      <c r="F429" s="1" t="s">
        <v>3</v>
      </c>
      <c r="G429" s="4">
        <v>2.19140211E8</v>
      </c>
      <c r="H429" s="1" t="s">
        <v>1041</v>
      </c>
      <c r="I429" s="2"/>
      <c r="J429" s="1" t="s">
        <v>9</v>
      </c>
      <c r="K429" s="1">
        <v>40.0</v>
      </c>
      <c r="L429" s="1"/>
      <c r="M429" s="5">
        <v>119.65</v>
      </c>
    </row>
    <row r="430" ht="15.75" hidden="1" customHeight="1">
      <c r="A430" s="1" t="s">
        <v>1062</v>
      </c>
      <c r="B430" s="2">
        <v>261.0</v>
      </c>
      <c r="C430" s="1" t="s">
        <v>173</v>
      </c>
      <c r="D430" s="1" t="s">
        <v>1063</v>
      </c>
      <c r="E430" s="3">
        <v>44567.0</v>
      </c>
      <c r="F430" s="1" t="s">
        <v>3</v>
      </c>
      <c r="G430" s="4">
        <v>2.19140211E8</v>
      </c>
      <c r="H430" s="1" t="s">
        <v>1041</v>
      </c>
      <c r="I430" s="2"/>
      <c r="J430" s="1" t="s">
        <v>9</v>
      </c>
      <c r="K430" s="1">
        <v>120.0</v>
      </c>
      <c r="L430" s="1"/>
      <c r="M430" s="5">
        <v>79.25</v>
      </c>
    </row>
    <row r="431" ht="15.75" hidden="1" customHeight="1">
      <c r="A431" s="1" t="s">
        <v>1064</v>
      </c>
      <c r="B431" s="2">
        <v>263.0</v>
      </c>
      <c r="C431" s="1" t="s">
        <v>1065</v>
      </c>
      <c r="D431" s="1" t="s">
        <v>1066</v>
      </c>
      <c r="E431" s="3">
        <v>44567.0</v>
      </c>
      <c r="F431" s="1" t="s">
        <v>3</v>
      </c>
      <c r="G431" s="4">
        <v>2.19140211E8</v>
      </c>
      <c r="H431" s="1" t="s">
        <v>1041</v>
      </c>
      <c r="I431" s="2"/>
      <c r="J431" s="1" t="s">
        <v>9</v>
      </c>
      <c r="K431" s="1">
        <v>10.0</v>
      </c>
      <c r="L431" s="1"/>
      <c r="M431" s="5">
        <v>112.3</v>
      </c>
    </row>
    <row r="432" ht="15.75" hidden="1" customHeight="1">
      <c r="A432" s="1" t="s">
        <v>1067</v>
      </c>
      <c r="B432" s="2">
        <v>268.0</v>
      </c>
      <c r="C432" s="1" t="s">
        <v>449</v>
      </c>
      <c r="D432" s="1" t="s">
        <v>1068</v>
      </c>
      <c r="E432" s="3">
        <v>44586.0</v>
      </c>
      <c r="F432" s="1" t="s">
        <v>3</v>
      </c>
      <c r="G432" s="4">
        <v>2.19140211E8</v>
      </c>
      <c r="H432" s="1" t="s">
        <v>1041</v>
      </c>
      <c r="I432" s="2"/>
      <c r="J432" s="1" t="s">
        <v>9</v>
      </c>
      <c r="K432" s="1">
        <v>125.0</v>
      </c>
      <c r="L432" s="1"/>
      <c r="M432" s="5">
        <v>100.0</v>
      </c>
    </row>
    <row r="433" ht="15.75" hidden="1" customHeight="1">
      <c r="A433" s="1" t="s">
        <v>1069</v>
      </c>
      <c r="B433" s="2">
        <v>270.0</v>
      </c>
      <c r="C433" s="1" t="s">
        <v>449</v>
      </c>
      <c r="D433" s="1" t="s">
        <v>1068</v>
      </c>
      <c r="E433" s="3">
        <v>44588.0</v>
      </c>
      <c r="F433" s="1" t="s">
        <v>3</v>
      </c>
      <c r="G433" s="4">
        <v>2.19140211E8</v>
      </c>
      <c r="H433" s="1" t="s">
        <v>1041</v>
      </c>
      <c r="I433" s="2"/>
      <c r="J433" s="1" t="s">
        <v>9</v>
      </c>
      <c r="K433" s="1">
        <v>125.0</v>
      </c>
      <c r="L433" s="1"/>
      <c r="M433" s="5">
        <v>100.0</v>
      </c>
    </row>
    <row r="434" ht="15.75" hidden="1" customHeight="1">
      <c r="A434" s="1" t="s">
        <v>1070</v>
      </c>
      <c r="B434" s="2">
        <v>285.0</v>
      </c>
      <c r="C434" s="1" t="s">
        <v>482</v>
      </c>
      <c r="D434" s="1" t="s">
        <v>1071</v>
      </c>
      <c r="E434" s="3">
        <v>44609.0</v>
      </c>
      <c r="F434" s="1" t="s">
        <v>3</v>
      </c>
      <c r="G434" s="4">
        <v>2.19140211E8</v>
      </c>
      <c r="H434" s="1" t="s">
        <v>1041</v>
      </c>
      <c r="I434" s="2"/>
      <c r="J434" s="1" t="s">
        <v>9</v>
      </c>
      <c r="K434" s="1">
        <v>15.0</v>
      </c>
      <c r="L434" s="1"/>
      <c r="M434" s="5">
        <v>147.2</v>
      </c>
    </row>
    <row r="435" ht="15.75" hidden="1" customHeight="1">
      <c r="A435" s="1" t="s">
        <v>1072</v>
      </c>
      <c r="B435" s="2">
        <v>291.0</v>
      </c>
      <c r="C435" s="1" t="s">
        <v>282</v>
      </c>
      <c r="D435" s="1" t="s">
        <v>1073</v>
      </c>
      <c r="E435" s="3">
        <v>44615.0</v>
      </c>
      <c r="F435" s="1" t="s">
        <v>3</v>
      </c>
      <c r="G435" s="4">
        <v>2.19140211E8</v>
      </c>
      <c r="H435" s="1" t="s">
        <v>1041</v>
      </c>
      <c r="I435" s="2"/>
      <c r="J435" s="1" t="s">
        <v>124</v>
      </c>
      <c r="K435" s="1">
        <v>20.0</v>
      </c>
      <c r="L435" s="1"/>
      <c r="M435" s="5">
        <v>114.92</v>
      </c>
    </row>
    <row r="436" ht="15.75" hidden="1" customHeight="1">
      <c r="A436" s="1" t="s">
        <v>1074</v>
      </c>
      <c r="B436" s="2">
        <v>292.0</v>
      </c>
      <c r="C436" s="1" t="s">
        <v>820</v>
      </c>
      <c r="D436" s="1" t="s">
        <v>1075</v>
      </c>
      <c r="E436" s="3">
        <v>44617.0</v>
      </c>
      <c r="F436" s="1" t="s">
        <v>3</v>
      </c>
      <c r="G436" s="4">
        <v>2.19140211E8</v>
      </c>
      <c r="H436" s="1" t="s">
        <v>1041</v>
      </c>
      <c r="I436" s="2"/>
      <c r="J436" s="1" t="s">
        <v>9</v>
      </c>
      <c r="K436" s="1">
        <v>1.0</v>
      </c>
      <c r="L436" s="1"/>
      <c r="M436" s="5">
        <v>161.31</v>
      </c>
    </row>
    <row r="437" ht="15.75" hidden="1" customHeight="1">
      <c r="A437" s="1" t="s">
        <v>1074</v>
      </c>
      <c r="B437" s="2">
        <v>292.0</v>
      </c>
      <c r="C437" s="1" t="s">
        <v>820</v>
      </c>
      <c r="D437" s="1" t="s">
        <v>1075</v>
      </c>
      <c r="E437" s="3">
        <v>44617.0</v>
      </c>
      <c r="F437" s="1" t="s">
        <v>3</v>
      </c>
      <c r="G437" s="4">
        <v>2.19140211E8</v>
      </c>
      <c r="H437" s="1" t="s">
        <v>1041</v>
      </c>
      <c r="I437" s="2"/>
      <c r="J437" s="1" t="s">
        <v>9</v>
      </c>
      <c r="K437" s="1">
        <v>20.0</v>
      </c>
      <c r="L437" s="1"/>
      <c r="M437" s="5">
        <v>127.25</v>
      </c>
    </row>
    <row r="438" ht="15.75" hidden="1" customHeight="1">
      <c r="A438" s="1" t="s">
        <v>1076</v>
      </c>
      <c r="B438" s="2">
        <v>293.0</v>
      </c>
      <c r="C438" s="1" t="s">
        <v>464</v>
      </c>
      <c r="D438" s="1" t="s">
        <v>1077</v>
      </c>
      <c r="E438" s="3">
        <v>44620.0</v>
      </c>
      <c r="F438" s="1" t="s">
        <v>3</v>
      </c>
      <c r="G438" s="4">
        <v>2.19140211E8</v>
      </c>
      <c r="H438" s="1" t="s">
        <v>1041</v>
      </c>
      <c r="I438" s="2"/>
      <c r="J438" s="1" t="s">
        <v>124</v>
      </c>
      <c r="K438" s="1">
        <v>15.0</v>
      </c>
      <c r="L438" s="1"/>
      <c r="M438" s="5">
        <v>129.8</v>
      </c>
    </row>
    <row r="439" ht="15.75" hidden="1" customHeight="1">
      <c r="A439" s="1" t="s">
        <v>1078</v>
      </c>
      <c r="B439" s="2">
        <v>302.0</v>
      </c>
      <c r="C439" s="1" t="s">
        <v>488</v>
      </c>
      <c r="D439" s="1" t="s">
        <v>1079</v>
      </c>
      <c r="E439" s="3">
        <v>44631.0</v>
      </c>
      <c r="F439" s="1" t="s">
        <v>3</v>
      </c>
      <c r="G439" s="4">
        <v>2.19140211E8</v>
      </c>
      <c r="H439" s="1" t="s">
        <v>1041</v>
      </c>
      <c r="I439" s="2"/>
      <c r="J439" s="1" t="s">
        <v>9</v>
      </c>
      <c r="K439" s="1">
        <v>2.0</v>
      </c>
      <c r="L439" s="1"/>
      <c r="M439" s="5">
        <v>105.0</v>
      </c>
    </row>
    <row r="440" ht="15.75" hidden="1" customHeight="1">
      <c r="A440" s="1" t="s">
        <v>1080</v>
      </c>
      <c r="B440" s="2">
        <v>305.0</v>
      </c>
      <c r="C440" s="1" t="s">
        <v>929</v>
      </c>
      <c r="D440" s="1" t="s">
        <v>1081</v>
      </c>
      <c r="E440" s="3">
        <v>44636.0</v>
      </c>
      <c r="F440" s="1" t="s">
        <v>3</v>
      </c>
      <c r="G440" s="4">
        <v>2.19140211E8</v>
      </c>
      <c r="H440" s="1" t="s">
        <v>1041</v>
      </c>
      <c r="I440" s="2"/>
      <c r="J440" s="1" t="s">
        <v>124</v>
      </c>
      <c r="K440" s="1">
        <v>15.0</v>
      </c>
      <c r="L440" s="1"/>
      <c r="M440" s="5">
        <v>155.0</v>
      </c>
    </row>
    <row r="441" ht="15.75" hidden="1" customHeight="1">
      <c r="A441" s="1" t="s">
        <v>1082</v>
      </c>
      <c r="B441" s="2">
        <v>307.0</v>
      </c>
      <c r="C441" s="1" t="s">
        <v>706</v>
      </c>
      <c r="D441" s="1" t="s">
        <v>1083</v>
      </c>
      <c r="E441" s="3">
        <v>44638.0</v>
      </c>
      <c r="F441" s="1" t="s">
        <v>3</v>
      </c>
      <c r="G441" s="4">
        <v>2.19140211E8</v>
      </c>
      <c r="H441" s="1" t="s">
        <v>1041</v>
      </c>
      <c r="I441" s="2"/>
      <c r="J441" s="1" t="s">
        <v>124</v>
      </c>
      <c r="K441" s="1">
        <v>10.0</v>
      </c>
      <c r="L441" s="1"/>
      <c r="M441" s="5">
        <v>165.0</v>
      </c>
    </row>
    <row r="442" ht="15.75" hidden="1" customHeight="1">
      <c r="A442" s="1" t="s">
        <v>1084</v>
      </c>
      <c r="B442" s="2">
        <v>314.0</v>
      </c>
      <c r="C442" s="1" t="s">
        <v>929</v>
      </c>
      <c r="D442" s="1" t="s">
        <v>1085</v>
      </c>
      <c r="E442" s="3">
        <v>44651.0</v>
      </c>
      <c r="F442" s="1" t="s">
        <v>3</v>
      </c>
      <c r="G442" s="4">
        <v>2.19140211E8</v>
      </c>
      <c r="H442" s="1" t="s">
        <v>1041</v>
      </c>
      <c r="I442" s="2"/>
      <c r="J442" s="1" t="s">
        <v>124</v>
      </c>
      <c r="K442" s="1">
        <v>15.0</v>
      </c>
      <c r="L442" s="1"/>
      <c r="M442" s="5">
        <v>155.0</v>
      </c>
    </row>
    <row r="443" ht="15.75" hidden="1" customHeight="1">
      <c r="A443" s="1" t="s">
        <v>1086</v>
      </c>
      <c r="B443" s="2">
        <v>316.0</v>
      </c>
      <c r="C443" s="1" t="s">
        <v>488</v>
      </c>
      <c r="D443" s="1" t="s">
        <v>1087</v>
      </c>
      <c r="E443" s="3">
        <v>44656.0</v>
      </c>
      <c r="F443" s="1" t="s">
        <v>3</v>
      </c>
      <c r="G443" s="4">
        <v>2.19140211E8</v>
      </c>
      <c r="H443" s="1" t="s">
        <v>1041</v>
      </c>
      <c r="I443" s="2"/>
      <c r="J443" s="1" t="s">
        <v>9</v>
      </c>
      <c r="K443" s="1">
        <v>4.0</v>
      </c>
      <c r="L443" s="1"/>
      <c r="M443" s="5">
        <v>105.0</v>
      </c>
    </row>
    <row r="444" ht="15.75" hidden="1" customHeight="1">
      <c r="A444" s="1" t="s">
        <v>1088</v>
      </c>
      <c r="B444" s="2">
        <v>632.0</v>
      </c>
      <c r="C444" s="1" t="s">
        <v>464</v>
      </c>
      <c r="D444" s="1" t="s">
        <v>1089</v>
      </c>
      <c r="E444" s="1" t="s">
        <v>60</v>
      </c>
      <c r="F444" s="1" t="s">
        <v>3</v>
      </c>
      <c r="G444" s="4">
        <v>2.19140211E8</v>
      </c>
      <c r="H444" s="1" t="s">
        <v>1041</v>
      </c>
      <c r="I444" s="2"/>
      <c r="J444" s="1" t="s">
        <v>124</v>
      </c>
      <c r="K444" s="1">
        <v>15.0</v>
      </c>
      <c r="L444" s="1"/>
      <c r="M444" s="5">
        <v>129.8</v>
      </c>
    </row>
    <row r="445" ht="15.75" hidden="1" customHeight="1">
      <c r="A445" s="1" t="s">
        <v>1090</v>
      </c>
      <c r="B445" s="2">
        <v>652.0</v>
      </c>
      <c r="C445" s="1" t="s">
        <v>59</v>
      </c>
      <c r="D445" s="1" t="s">
        <v>1091</v>
      </c>
      <c r="E445" s="3">
        <v>44582.0</v>
      </c>
      <c r="F445" s="1" t="s">
        <v>3</v>
      </c>
      <c r="G445" s="4">
        <v>2.19140211E8</v>
      </c>
      <c r="H445" s="1" t="s">
        <v>1041</v>
      </c>
      <c r="I445" s="2"/>
      <c r="J445" s="1" t="s">
        <v>124</v>
      </c>
      <c r="K445" s="1">
        <v>200.0</v>
      </c>
      <c r="L445" s="1"/>
      <c r="M445" s="5">
        <v>90.0</v>
      </c>
    </row>
    <row r="446" ht="15.75" hidden="1" customHeight="1">
      <c r="A446" s="1" t="s">
        <v>1092</v>
      </c>
      <c r="B446" s="2">
        <v>454.0</v>
      </c>
      <c r="C446" s="1" t="s">
        <v>219</v>
      </c>
      <c r="D446" s="1" t="s">
        <v>1093</v>
      </c>
      <c r="E446" s="3">
        <v>44848.0</v>
      </c>
      <c r="F446" s="1" t="s">
        <v>3</v>
      </c>
      <c r="G446" s="4">
        <v>2.19140221E8</v>
      </c>
      <c r="H446" s="1" t="s">
        <v>1094</v>
      </c>
      <c r="I446" s="2"/>
      <c r="J446" s="1" t="s">
        <v>124</v>
      </c>
      <c r="K446" s="1">
        <v>50.0</v>
      </c>
      <c r="L446" s="1"/>
      <c r="M446" s="5">
        <v>100.0</v>
      </c>
    </row>
    <row r="447" ht="15.75" hidden="1" customHeight="1">
      <c r="A447" s="1" t="s">
        <v>1095</v>
      </c>
      <c r="B447" s="2">
        <v>475.0</v>
      </c>
      <c r="C447" s="1" t="s">
        <v>219</v>
      </c>
      <c r="D447" s="1" t="s">
        <v>1096</v>
      </c>
      <c r="E447" s="3">
        <v>44879.0</v>
      </c>
      <c r="F447" s="1" t="s">
        <v>3</v>
      </c>
      <c r="G447" s="4">
        <v>2.19140221E8</v>
      </c>
      <c r="H447" s="1" t="s">
        <v>1094</v>
      </c>
      <c r="I447" s="2"/>
      <c r="J447" s="1" t="s">
        <v>124</v>
      </c>
      <c r="K447" s="1">
        <v>50.0</v>
      </c>
      <c r="L447" s="1"/>
      <c r="M447" s="5">
        <v>100.0</v>
      </c>
    </row>
    <row r="448" ht="15.75" hidden="1" customHeight="1">
      <c r="A448" s="1" t="s">
        <v>1097</v>
      </c>
      <c r="B448" s="2">
        <v>33.0</v>
      </c>
      <c r="C448" s="1" t="s">
        <v>246</v>
      </c>
      <c r="D448" s="1" t="s">
        <v>1098</v>
      </c>
      <c r="E448" s="3">
        <v>44417.0</v>
      </c>
      <c r="F448" s="1" t="s">
        <v>3</v>
      </c>
      <c r="G448" s="4">
        <v>2.19142201E8</v>
      </c>
      <c r="I448" s="2"/>
      <c r="J448" s="1" t="s">
        <v>124</v>
      </c>
      <c r="K448" s="1">
        <v>125.0</v>
      </c>
      <c r="L448" s="1"/>
      <c r="M448" s="5">
        <v>119.45</v>
      </c>
    </row>
    <row r="449" ht="15.75" hidden="1" customHeight="1">
      <c r="A449" s="1" t="s">
        <v>1099</v>
      </c>
      <c r="B449" s="2">
        <v>34.0</v>
      </c>
      <c r="C449" s="1" t="s">
        <v>1100</v>
      </c>
      <c r="D449" s="1" t="s">
        <v>1101</v>
      </c>
      <c r="E449" s="3">
        <v>44417.0</v>
      </c>
      <c r="F449" s="1" t="s">
        <v>3</v>
      </c>
      <c r="G449" s="4">
        <v>2.19142201E8</v>
      </c>
      <c r="I449" s="2"/>
      <c r="J449" s="1" t="s">
        <v>124</v>
      </c>
      <c r="K449" s="1">
        <v>25.0</v>
      </c>
      <c r="L449" s="1"/>
      <c r="M449" s="5">
        <v>120.0</v>
      </c>
    </row>
    <row r="450" ht="15.75" hidden="1" customHeight="1">
      <c r="A450" s="1" t="s">
        <v>1102</v>
      </c>
      <c r="B450" s="2">
        <v>38.0</v>
      </c>
      <c r="C450" s="1" t="s">
        <v>809</v>
      </c>
      <c r="D450" s="1" t="s">
        <v>1103</v>
      </c>
      <c r="E450" s="3">
        <v>44417.0</v>
      </c>
      <c r="F450" s="1" t="s">
        <v>3</v>
      </c>
      <c r="G450" s="4">
        <v>2.19142201E8</v>
      </c>
      <c r="I450" s="2"/>
      <c r="J450" s="1" t="s">
        <v>124</v>
      </c>
      <c r="K450" s="1">
        <v>10.0</v>
      </c>
      <c r="L450" s="1"/>
      <c r="M450" s="5">
        <v>165.0</v>
      </c>
    </row>
    <row r="451" ht="15.75" hidden="1" customHeight="1">
      <c r="A451" s="1" t="s">
        <v>1104</v>
      </c>
      <c r="B451" s="2">
        <v>42.0</v>
      </c>
      <c r="C451" s="1" t="s">
        <v>47</v>
      </c>
      <c r="D451" s="1" t="s">
        <v>1105</v>
      </c>
      <c r="E451" s="3">
        <v>44417.0</v>
      </c>
      <c r="F451" s="1" t="s">
        <v>3</v>
      </c>
      <c r="G451" s="4">
        <v>2.19142201E8</v>
      </c>
      <c r="I451" s="2"/>
      <c r="J451" s="1" t="s">
        <v>9</v>
      </c>
      <c r="K451" s="1">
        <v>10.0</v>
      </c>
      <c r="L451" s="1"/>
      <c r="M451" s="5">
        <v>115.0</v>
      </c>
    </row>
    <row r="452" ht="15.75" hidden="1" customHeight="1">
      <c r="A452" s="1" t="s">
        <v>1106</v>
      </c>
      <c r="B452" s="2">
        <v>75.0</v>
      </c>
      <c r="C452" s="1" t="s">
        <v>255</v>
      </c>
      <c r="D452" s="1" t="s">
        <v>1107</v>
      </c>
      <c r="E452" s="3">
        <v>44418.0</v>
      </c>
      <c r="F452" s="1" t="s">
        <v>3</v>
      </c>
      <c r="G452" s="4">
        <v>2.19142201E8</v>
      </c>
      <c r="I452" s="2"/>
      <c r="J452" s="1" t="s">
        <v>124</v>
      </c>
      <c r="K452" s="1">
        <v>175.0</v>
      </c>
      <c r="L452" s="1"/>
      <c r="M452" s="5">
        <v>133.17</v>
      </c>
    </row>
    <row r="453" ht="15.75" hidden="1" customHeight="1">
      <c r="A453" s="1" t="s">
        <v>1108</v>
      </c>
      <c r="B453" s="2">
        <v>102.0</v>
      </c>
      <c r="C453" s="1" t="s">
        <v>255</v>
      </c>
      <c r="D453" s="1" t="s">
        <v>1109</v>
      </c>
      <c r="E453" s="3">
        <v>44419.0</v>
      </c>
      <c r="F453" s="1" t="s">
        <v>3</v>
      </c>
      <c r="G453" s="4">
        <v>2.19142201E8</v>
      </c>
      <c r="H453" s="1" t="s">
        <v>1110</v>
      </c>
      <c r="I453" s="2"/>
      <c r="J453" s="1" t="s">
        <v>124</v>
      </c>
      <c r="K453" s="1">
        <v>50.0</v>
      </c>
      <c r="L453" s="1"/>
      <c r="M453" s="5">
        <v>133.17</v>
      </c>
    </row>
    <row r="454" ht="15.75" hidden="1" customHeight="1">
      <c r="A454" s="1" t="s">
        <v>1111</v>
      </c>
      <c r="B454" s="2">
        <v>121.0</v>
      </c>
      <c r="C454" s="1" t="s">
        <v>27</v>
      </c>
      <c r="D454" s="1" t="s">
        <v>1112</v>
      </c>
      <c r="E454" s="3">
        <v>44424.0</v>
      </c>
      <c r="F454" s="1" t="s">
        <v>3</v>
      </c>
      <c r="G454" s="4">
        <v>2.19142201E8</v>
      </c>
      <c r="H454" s="1" t="s">
        <v>1110</v>
      </c>
      <c r="I454" s="2"/>
      <c r="J454" s="1" t="s">
        <v>124</v>
      </c>
      <c r="K454" s="1">
        <v>20.0</v>
      </c>
      <c r="L454" s="1"/>
      <c r="M454" s="5">
        <v>114.35</v>
      </c>
    </row>
    <row r="455" ht="15.75" hidden="1" customHeight="1">
      <c r="A455" s="1" t="s">
        <v>1113</v>
      </c>
      <c r="B455" s="2">
        <v>143.0</v>
      </c>
      <c r="C455" s="1" t="s">
        <v>27</v>
      </c>
      <c r="D455" s="1" t="s">
        <v>1114</v>
      </c>
      <c r="E455" s="3">
        <v>44438.0</v>
      </c>
      <c r="F455" s="1" t="s">
        <v>3</v>
      </c>
      <c r="G455" s="4">
        <v>2.19142201E8</v>
      </c>
      <c r="H455" s="1" t="s">
        <v>1110</v>
      </c>
      <c r="I455" s="2"/>
      <c r="J455" s="1" t="s">
        <v>124</v>
      </c>
      <c r="K455" s="1">
        <v>100.0</v>
      </c>
      <c r="L455" s="1"/>
      <c r="M455" s="5">
        <v>125.95</v>
      </c>
    </row>
    <row r="456" ht="15.75" hidden="1" customHeight="1">
      <c r="A456" s="1" t="s">
        <v>1115</v>
      </c>
      <c r="B456" s="2">
        <v>146.0</v>
      </c>
      <c r="C456" s="1" t="s">
        <v>27</v>
      </c>
      <c r="D456" s="1" t="s">
        <v>1116</v>
      </c>
      <c r="E456" s="3">
        <v>44438.0</v>
      </c>
      <c r="F456" s="1" t="s">
        <v>3</v>
      </c>
      <c r="G456" s="4">
        <v>2.19142201E8</v>
      </c>
      <c r="H456" s="1" t="s">
        <v>1110</v>
      </c>
      <c r="I456" s="2"/>
      <c r="J456" s="1" t="s">
        <v>124</v>
      </c>
      <c r="K456" s="1">
        <v>100.0</v>
      </c>
      <c r="L456" s="1"/>
      <c r="M456" s="5">
        <v>122.48</v>
      </c>
    </row>
    <row r="457" ht="15.75" hidden="1" customHeight="1">
      <c r="A457" s="1" t="s">
        <v>1117</v>
      </c>
      <c r="B457" s="2">
        <v>147.0</v>
      </c>
      <c r="C457" s="1" t="s">
        <v>809</v>
      </c>
      <c r="D457" s="1" t="s">
        <v>1118</v>
      </c>
      <c r="E457" s="3">
        <v>44438.0</v>
      </c>
      <c r="F457" s="1" t="s">
        <v>3</v>
      </c>
      <c r="G457" s="4">
        <v>2.19142201E8</v>
      </c>
      <c r="H457" s="1" t="s">
        <v>1110</v>
      </c>
      <c r="I457" s="2"/>
      <c r="J457" s="1" t="s">
        <v>124</v>
      </c>
      <c r="K457" s="1">
        <v>40.0</v>
      </c>
      <c r="L457" s="1"/>
      <c r="M457" s="5">
        <v>165.0</v>
      </c>
    </row>
    <row r="458" ht="15.75" hidden="1" customHeight="1">
      <c r="A458" s="1" t="s">
        <v>1119</v>
      </c>
      <c r="B458" s="2">
        <v>168.0</v>
      </c>
      <c r="C458" s="1" t="s">
        <v>27</v>
      </c>
      <c r="D458" s="1" t="s">
        <v>272</v>
      </c>
      <c r="E458" s="3">
        <v>44467.0</v>
      </c>
      <c r="F458" s="1" t="s">
        <v>3</v>
      </c>
      <c r="G458" s="4">
        <v>2.19142201E8</v>
      </c>
      <c r="H458" s="1" t="s">
        <v>1110</v>
      </c>
      <c r="I458" s="2"/>
      <c r="J458" s="1" t="s">
        <v>124</v>
      </c>
      <c r="K458" s="1">
        <v>10.0</v>
      </c>
      <c r="L458" s="1"/>
      <c r="M458" s="5">
        <v>105.49</v>
      </c>
    </row>
    <row r="459" ht="15.75" hidden="1" customHeight="1">
      <c r="A459" s="1" t="s">
        <v>1120</v>
      </c>
      <c r="B459" s="2">
        <v>202.0</v>
      </c>
      <c r="C459" s="1" t="s">
        <v>664</v>
      </c>
      <c r="D459" s="1" t="s">
        <v>1121</v>
      </c>
      <c r="E459" s="3">
        <v>44487.0</v>
      </c>
      <c r="F459" s="1" t="s">
        <v>3</v>
      </c>
      <c r="G459" s="4">
        <v>2.19142201E8</v>
      </c>
      <c r="H459" s="1" t="s">
        <v>1110</v>
      </c>
      <c r="I459" s="2"/>
      <c r="J459" s="1" t="s">
        <v>9</v>
      </c>
      <c r="K459" s="1">
        <v>5.0</v>
      </c>
      <c r="L459" s="1"/>
      <c r="M459" s="5">
        <v>139.63</v>
      </c>
    </row>
    <row r="460" ht="15.75" hidden="1" customHeight="1">
      <c r="A460" s="1" t="s">
        <v>1122</v>
      </c>
      <c r="B460" s="2">
        <v>203.0</v>
      </c>
      <c r="C460" s="1" t="s">
        <v>809</v>
      </c>
      <c r="D460" s="1" t="s">
        <v>1123</v>
      </c>
      <c r="E460" s="3">
        <v>44487.0</v>
      </c>
      <c r="F460" s="1" t="s">
        <v>3</v>
      </c>
      <c r="G460" s="4">
        <v>2.19142201E8</v>
      </c>
      <c r="H460" s="1" t="s">
        <v>1110</v>
      </c>
      <c r="I460" s="2"/>
      <c r="J460" s="1" t="s">
        <v>124</v>
      </c>
      <c r="K460" s="1">
        <v>10.0</v>
      </c>
      <c r="L460" s="1"/>
      <c r="M460" s="5">
        <v>165.0</v>
      </c>
    </row>
    <row r="461" ht="15.75" hidden="1" customHeight="1">
      <c r="A461" s="1" t="s">
        <v>1124</v>
      </c>
      <c r="B461" s="2">
        <v>7.0</v>
      </c>
      <c r="C461" s="1" t="s">
        <v>1125</v>
      </c>
      <c r="D461" s="1" t="s">
        <v>1126</v>
      </c>
      <c r="E461" s="3">
        <v>44417.0</v>
      </c>
      <c r="F461" s="1" t="s">
        <v>3</v>
      </c>
      <c r="G461" s="4">
        <v>2.19149201E8</v>
      </c>
      <c r="I461" s="2"/>
      <c r="J461" s="1" t="s">
        <v>124</v>
      </c>
      <c r="K461" s="1">
        <v>1800.0</v>
      </c>
      <c r="L461" s="1"/>
      <c r="M461" s="5">
        <v>104.0</v>
      </c>
    </row>
    <row r="462" ht="15.75" hidden="1" customHeight="1">
      <c r="A462" s="1" t="s">
        <v>1127</v>
      </c>
      <c r="B462" s="2">
        <v>8.0</v>
      </c>
      <c r="C462" s="1" t="s">
        <v>508</v>
      </c>
      <c r="D462" s="1" t="s">
        <v>1128</v>
      </c>
      <c r="E462" s="3">
        <v>44417.0</v>
      </c>
      <c r="F462" s="1" t="s">
        <v>3</v>
      </c>
      <c r="G462" s="4">
        <v>2.19149201E8</v>
      </c>
      <c r="I462" s="2"/>
      <c r="J462" s="1" t="s">
        <v>416</v>
      </c>
      <c r="K462" s="1">
        <v>10.0</v>
      </c>
      <c r="L462" s="1"/>
      <c r="M462" s="5">
        <v>145.0</v>
      </c>
    </row>
    <row r="463" ht="15.75" hidden="1" customHeight="1">
      <c r="A463" s="1" t="s">
        <v>1129</v>
      </c>
      <c r="B463" s="2">
        <v>14.0</v>
      </c>
      <c r="C463" s="1" t="s">
        <v>31</v>
      </c>
      <c r="D463" s="1" t="s">
        <v>1130</v>
      </c>
      <c r="E463" s="3">
        <v>44417.0</v>
      </c>
      <c r="F463" s="1" t="s">
        <v>3</v>
      </c>
      <c r="G463" s="4">
        <v>2.19149201E8</v>
      </c>
      <c r="I463" s="2"/>
      <c r="J463" s="1" t="s">
        <v>9</v>
      </c>
      <c r="K463" s="1">
        <v>120.0</v>
      </c>
      <c r="L463" s="1"/>
      <c r="M463" s="5">
        <v>79.25</v>
      </c>
    </row>
    <row r="464" ht="15.75" hidden="1" customHeight="1">
      <c r="A464" s="1" t="s">
        <v>1131</v>
      </c>
      <c r="B464" s="2">
        <v>59.0</v>
      </c>
      <c r="C464" s="1" t="s">
        <v>449</v>
      </c>
      <c r="D464" s="1" t="s">
        <v>1132</v>
      </c>
      <c r="E464" s="3">
        <v>44418.0</v>
      </c>
      <c r="F464" s="1" t="s">
        <v>3</v>
      </c>
      <c r="G464" s="4">
        <v>2.19149201E8</v>
      </c>
      <c r="I464" s="2"/>
      <c r="J464" s="1" t="s">
        <v>9</v>
      </c>
      <c r="K464" s="1">
        <v>125.0</v>
      </c>
      <c r="L464" s="1"/>
      <c r="M464" s="5">
        <v>100.0</v>
      </c>
    </row>
    <row r="465" ht="15.75" hidden="1" customHeight="1">
      <c r="A465" s="1" t="s">
        <v>1133</v>
      </c>
      <c r="B465" s="2">
        <v>61.0</v>
      </c>
      <c r="C465" s="1" t="s">
        <v>513</v>
      </c>
      <c r="D465" s="1" t="s">
        <v>1134</v>
      </c>
      <c r="E465" s="3">
        <v>44418.0</v>
      </c>
      <c r="F465" s="1" t="s">
        <v>3</v>
      </c>
      <c r="G465" s="4">
        <v>2.19149201E8</v>
      </c>
      <c r="I465" s="2"/>
      <c r="J465" s="1" t="s">
        <v>124</v>
      </c>
      <c r="K465" s="1">
        <v>20.0</v>
      </c>
      <c r="L465" s="1"/>
      <c r="M465" s="5">
        <v>148.244</v>
      </c>
    </row>
    <row r="466" ht="15.75" hidden="1" customHeight="1">
      <c r="A466" s="1" t="s">
        <v>1135</v>
      </c>
      <c r="B466" s="2">
        <v>79.0</v>
      </c>
      <c r="C466" s="1" t="s">
        <v>449</v>
      </c>
      <c r="D466" s="1" t="s">
        <v>1136</v>
      </c>
      <c r="E466" s="3">
        <v>44418.0</v>
      </c>
      <c r="F466" s="1" t="s">
        <v>3</v>
      </c>
      <c r="G466" s="4">
        <v>2.19149201E8</v>
      </c>
      <c r="I466" s="2"/>
      <c r="J466" s="1" t="s">
        <v>9</v>
      </c>
      <c r="K466" s="1">
        <v>125.0</v>
      </c>
      <c r="L466" s="1"/>
      <c r="M466" s="5">
        <v>100.0</v>
      </c>
    </row>
    <row r="467" ht="15.75" hidden="1" customHeight="1">
      <c r="A467" s="1" t="s">
        <v>1137</v>
      </c>
      <c r="B467" s="2">
        <v>105.0</v>
      </c>
      <c r="C467" s="1" t="s">
        <v>513</v>
      </c>
      <c r="D467" s="1" t="s">
        <v>1138</v>
      </c>
      <c r="E467" s="3">
        <v>44419.0</v>
      </c>
      <c r="F467" s="1" t="s">
        <v>3</v>
      </c>
      <c r="G467" s="4">
        <v>2.19149201E8</v>
      </c>
      <c r="H467" s="1" t="s">
        <v>1139</v>
      </c>
      <c r="I467" s="2"/>
      <c r="J467" s="1" t="s">
        <v>124</v>
      </c>
      <c r="K467" s="1">
        <v>20.0</v>
      </c>
      <c r="L467" s="1"/>
      <c r="M467" s="5">
        <v>148.244</v>
      </c>
    </row>
    <row r="468" ht="15.75" hidden="1" customHeight="1">
      <c r="A468" s="1" t="s">
        <v>1140</v>
      </c>
      <c r="B468" s="2">
        <v>255.0</v>
      </c>
      <c r="C468" s="1" t="s">
        <v>582</v>
      </c>
      <c r="D468" s="1" t="s">
        <v>1141</v>
      </c>
      <c r="E468" s="3">
        <v>44559.0</v>
      </c>
      <c r="F468" s="1" t="s">
        <v>3</v>
      </c>
      <c r="G468" s="4">
        <v>2.19157211E8</v>
      </c>
      <c r="H468" s="1" t="s">
        <v>1142</v>
      </c>
      <c r="I468" s="2"/>
      <c r="J468" s="1" t="s">
        <v>124</v>
      </c>
      <c r="K468" s="1">
        <v>1360.0</v>
      </c>
      <c r="L468" s="1"/>
      <c r="M468" s="5">
        <v>165.0</v>
      </c>
    </row>
    <row r="469" ht="15.75" hidden="1" customHeight="1">
      <c r="A469" s="1" t="s">
        <v>1143</v>
      </c>
      <c r="B469" s="2">
        <v>605.0</v>
      </c>
      <c r="C469" s="1" t="s">
        <v>929</v>
      </c>
      <c r="D469" s="1" t="s">
        <v>1144</v>
      </c>
      <c r="E469" s="1" t="s">
        <v>60</v>
      </c>
      <c r="F469" s="1" t="s">
        <v>3</v>
      </c>
      <c r="G469" s="4">
        <v>2.19157221E8</v>
      </c>
      <c r="H469" s="1" t="s">
        <v>1145</v>
      </c>
      <c r="I469" s="2"/>
      <c r="J469" s="1" t="s">
        <v>124</v>
      </c>
      <c r="K469" s="1">
        <v>15.0</v>
      </c>
      <c r="L469" s="1"/>
      <c r="M469" s="5">
        <v>155.0</v>
      </c>
    </row>
    <row r="470" ht="15.75" hidden="1" customHeight="1">
      <c r="A470" s="1" t="s">
        <v>1146</v>
      </c>
      <c r="B470" s="2">
        <v>51.0</v>
      </c>
      <c r="C470" s="1" t="s">
        <v>219</v>
      </c>
      <c r="D470" s="1" t="s">
        <v>1147</v>
      </c>
      <c r="E470" s="3">
        <v>44417.0</v>
      </c>
      <c r="F470" s="1" t="s">
        <v>3</v>
      </c>
      <c r="G470" s="4">
        <v>2.19159201E8</v>
      </c>
      <c r="I470" s="2"/>
      <c r="J470" s="1" t="s">
        <v>124</v>
      </c>
      <c r="K470" s="1">
        <v>75.0</v>
      </c>
      <c r="L470" s="1"/>
      <c r="M470" s="5">
        <v>100.0</v>
      </c>
    </row>
    <row r="471" ht="15.75" hidden="1" customHeight="1">
      <c r="A471" s="1" t="s">
        <v>1148</v>
      </c>
      <c r="B471" s="2">
        <v>58.0</v>
      </c>
      <c r="C471" s="1" t="s">
        <v>219</v>
      </c>
      <c r="D471" s="1" t="s">
        <v>1149</v>
      </c>
      <c r="E471" s="3">
        <v>44418.0</v>
      </c>
      <c r="F471" s="1" t="s">
        <v>3</v>
      </c>
      <c r="G471" s="4">
        <v>2.19159201E8</v>
      </c>
      <c r="I471" s="2"/>
      <c r="J471" s="1" t="s">
        <v>124</v>
      </c>
      <c r="K471" s="1">
        <v>100.0</v>
      </c>
      <c r="L471" s="1"/>
      <c r="M471" s="5">
        <v>100.0</v>
      </c>
    </row>
    <row r="472" ht="15.75" hidden="1" customHeight="1">
      <c r="A472" s="1" t="s">
        <v>1150</v>
      </c>
      <c r="B472" s="2">
        <v>84.0</v>
      </c>
      <c r="C472" s="1" t="s">
        <v>219</v>
      </c>
      <c r="D472" s="1" t="s">
        <v>1151</v>
      </c>
      <c r="E472" s="3">
        <v>44418.0</v>
      </c>
      <c r="F472" s="1" t="s">
        <v>3</v>
      </c>
      <c r="G472" s="4">
        <v>2.19159201E8</v>
      </c>
      <c r="I472" s="2"/>
      <c r="J472" s="1" t="s">
        <v>124</v>
      </c>
      <c r="K472" s="1">
        <v>50.0</v>
      </c>
      <c r="L472" s="1"/>
      <c r="M472" s="5">
        <v>100.0</v>
      </c>
    </row>
    <row r="473" ht="15.75" hidden="1" customHeight="1">
      <c r="A473" s="1" t="s">
        <v>1152</v>
      </c>
      <c r="B473" s="2">
        <v>85.0</v>
      </c>
      <c r="C473" s="1" t="s">
        <v>27</v>
      </c>
      <c r="D473" s="1" t="s">
        <v>1153</v>
      </c>
      <c r="E473" s="3">
        <v>44418.0</v>
      </c>
      <c r="F473" s="1" t="s">
        <v>3</v>
      </c>
      <c r="G473" s="4">
        <v>2.19159201E8</v>
      </c>
      <c r="I473" s="2"/>
      <c r="J473" s="1" t="s">
        <v>9</v>
      </c>
      <c r="K473" s="1">
        <v>25.0</v>
      </c>
      <c r="L473" s="1"/>
      <c r="M473" s="5">
        <v>122.22</v>
      </c>
    </row>
    <row r="474" ht="15.75" hidden="1" customHeight="1">
      <c r="A474" s="1" t="s">
        <v>1154</v>
      </c>
      <c r="B474" s="2">
        <v>111.0</v>
      </c>
      <c r="C474" s="1" t="s">
        <v>422</v>
      </c>
      <c r="D474" s="1" t="s">
        <v>1155</v>
      </c>
      <c r="E474" s="3">
        <v>44424.0</v>
      </c>
      <c r="F474" s="1" t="s">
        <v>3</v>
      </c>
      <c r="G474" s="4">
        <v>2.19159201E8</v>
      </c>
      <c r="H474" s="1" t="s">
        <v>1156</v>
      </c>
      <c r="I474" s="2"/>
      <c r="J474" s="1" t="s">
        <v>124</v>
      </c>
      <c r="K474" s="1">
        <v>1800.0</v>
      </c>
      <c r="L474" s="1"/>
      <c r="M474" s="5">
        <v>104.0</v>
      </c>
    </row>
    <row r="475" ht="15.75" hidden="1" customHeight="1">
      <c r="A475" s="1" t="s">
        <v>1157</v>
      </c>
      <c r="B475" s="2">
        <v>50.0</v>
      </c>
      <c r="C475" s="1" t="s">
        <v>422</v>
      </c>
      <c r="D475" s="1" t="s">
        <v>1158</v>
      </c>
      <c r="E475" s="3">
        <v>44417.0</v>
      </c>
      <c r="F475" s="1" t="s">
        <v>3</v>
      </c>
      <c r="G475" s="4">
        <v>2.19164201E8</v>
      </c>
      <c r="I475" s="2"/>
      <c r="J475" s="1" t="s">
        <v>416</v>
      </c>
      <c r="K475" s="1">
        <v>1800.0</v>
      </c>
      <c r="L475" s="1"/>
      <c r="M475" s="5">
        <v>104.0</v>
      </c>
    </row>
    <row r="476" ht="15.75" hidden="1" customHeight="1">
      <c r="A476" s="1" t="s">
        <v>1159</v>
      </c>
      <c r="B476" s="2">
        <v>271.0</v>
      </c>
      <c r="C476" s="1" t="s">
        <v>461</v>
      </c>
      <c r="D476" s="1" t="s">
        <v>1160</v>
      </c>
      <c r="E476" s="3">
        <v>44588.0</v>
      </c>
      <c r="F476" s="1" t="s">
        <v>3</v>
      </c>
      <c r="G476" s="4">
        <v>2.19164211E8</v>
      </c>
      <c r="H476" s="1" t="s">
        <v>1161</v>
      </c>
      <c r="I476" s="2"/>
      <c r="J476" s="1" t="s">
        <v>124</v>
      </c>
      <c r="K476" s="1">
        <v>100.0</v>
      </c>
      <c r="L476" s="1"/>
      <c r="M476" s="5">
        <v>121.68</v>
      </c>
    </row>
    <row r="477" ht="15.75" hidden="1" customHeight="1">
      <c r="A477" s="1" t="s">
        <v>1162</v>
      </c>
      <c r="B477" s="2">
        <v>272.0</v>
      </c>
      <c r="C477" s="1" t="s">
        <v>680</v>
      </c>
      <c r="D477" s="1" t="s">
        <v>1163</v>
      </c>
      <c r="E477" s="3">
        <v>44588.0</v>
      </c>
      <c r="F477" s="1" t="s">
        <v>3</v>
      </c>
      <c r="G477" s="4">
        <v>2.19164211E8</v>
      </c>
      <c r="H477" s="1" t="s">
        <v>1161</v>
      </c>
      <c r="I477" s="2"/>
      <c r="J477" s="1" t="s">
        <v>124</v>
      </c>
      <c r="K477" s="1">
        <v>75.0</v>
      </c>
      <c r="L477" s="1"/>
      <c r="M477" s="5">
        <v>130.65</v>
      </c>
    </row>
    <row r="478" ht="15.75" hidden="1" customHeight="1">
      <c r="A478" s="1" t="s">
        <v>1164</v>
      </c>
      <c r="B478" s="2">
        <v>275.0</v>
      </c>
      <c r="C478" s="1" t="s">
        <v>169</v>
      </c>
      <c r="D478" s="1" t="s">
        <v>1165</v>
      </c>
      <c r="E478" s="3">
        <v>44592.0</v>
      </c>
      <c r="F478" s="1" t="s">
        <v>3</v>
      </c>
      <c r="G478" s="4">
        <v>2.19164211E8</v>
      </c>
      <c r="H478" s="1" t="s">
        <v>1161</v>
      </c>
      <c r="I478" s="2"/>
      <c r="J478" s="1" t="s">
        <v>124</v>
      </c>
      <c r="K478" s="1">
        <v>25.0</v>
      </c>
      <c r="L478" s="1"/>
      <c r="M478" s="5">
        <v>120.0</v>
      </c>
    </row>
    <row r="479" ht="15.75" hidden="1" customHeight="1">
      <c r="A479" s="1" t="s">
        <v>1166</v>
      </c>
      <c r="B479" s="2">
        <v>278.0</v>
      </c>
      <c r="C479" s="1" t="s">
        <v>485</v>
      </c>
      <c r="D479" s="1" t="s">
        <v>1167</v>
      </c>
      <c r="E479" s="3">
        <v>44601.0</v>
      </c>
      <c r="F479" s="1" t="s">
        <v>3</v>
      </c>
      <c r="G479" s="4">
        <v>2.19164211E8</v>
      </c>
      <c r="H479" s="1" t="s">
        <v>1161</v>
      </c>
      <c r="I479" s="2"/>
      <c r="J479" s="1" t="s">
        <v>9</v>
      </c>
      <c r="K479" s="1">
        <v>3.0</v>
      </c>
      <c r="L479" s="1"/>
      <c r="M479" s="5">
        <v>190.13</v>
      </c>
    </row>
    <row r="480" ht="15.75" hidden="1" customHeight="1">
      <c r="A480" s="1" t="s">
        <v>1168</v>
      </c>
      <c r="B480" s="2">
        <v>279.0</v>
      </c>
      <c r="C480" s="1" t="s">
        <v>680</v>
      </c>
      <c r="D480" s="1" t="s">
        <v>1169</v>
      </c>
      <c r="E480" s="3">
        <v>44601.0</v>
      </c>
      <c r="F480" s="1" t="s">
        <v>3</v>
      </c>
      <c r="G480" s="4">
        <v>2.19164211E8</v>
      </c>
      <c r="H480" s="1" t="s">
        <v>1161</v>
      </c>
      <c r="I480" s="2"/>
      <c r="J480" s="1" t="s">
        <v>124</v>
      </c>
      <c r="K480" s="1">
        <v>150.0</v>
      </c>
      <c r="L480" s="1"/>
      <c r="M480" s="5">
        <v>130.65</v>
      </c>
    </row>
    <row r="481" ht="15.75" hidden="1" customHeight="1">
      <c r="A481" s="1" t="s">
        <v>1170</v>
      </c>
      <c r="B481" s="2">
        <v>281.0</v>
      </c>
      <c r="C481" s="1" t="s">
        <v>449</v>
      </c>
      <c r="D481" s="1" t="s">
        <v>1171</v>
      </c>
      <c r="E481" s="3">
        <v>44603.0</v>
      </c>
      <c r="F481" s="1" t="s">
        <v>3</v>
      </c>
      <c r="G481" s="4">
        <v>2.19164211E8</v>
      </c>
      <c r="H481" s="1" t="s">
        <v>1161</v>
      </c>
      <c r="I481" s="2"/>
      <c r="J481" s="1" t="s">
        <v>9</v>
      </c>
      <c r="K481" s="1">
        <v>125.0</v>
      </c>
      <c r="L481" s="1"/>
      <c r="M481" s="5">
        <v>100.0</v>
      </c>
    </row>
    <row r="482" ht="15.75" hidden="1" customHeight="1">
      <c r="A482" s="1" t="s">
        <v>1172</v>
      </c>
      <c r="B482" s="2">
        <v>290.0</v>
      </c>
      <c r="C482" s="1" t="s">
        <v>449</v>
      </c>
      <c r="D482" s="1" t="s">
        <v>1173</v>
      </c>
      <c r="E482" s="3">
        <v>44615.0</v>
      </c>
      <c r="F482" s="1" t="s">
        <v>3</v>
      </c>
      <c r="G482" s="4">
        <v>2.19164211E8</v>
      </c>
      <c r="H482" s="1" t="s">
        <v>1161</v>
      </c>
      <c r="I482" s="2"/>
      <c r="J482" s="1" t="s">
        <v>9</v>
      </c>
      <c r="K482" s="1">
        <v>125.0</v>
      </c>
      <c r="L482" s="1"/>
      <c r="M482" s="5">
        <v>100.0</v>
      </c>
    </row>
    <row r="483" ht="15.75" hidden="1" customHeight="1">
      <c r="A483" s="1" t="s">
        <v>1174</v>
      </c>
      <c r="B483" s="2">
        <v>317.0</v>
      </c>
      <c r="C483" s="1" t="s">
        <v>449</v>
      </c>
      <c r="D483" s="1" t="s">
        <v>1175</v>
      </c>
      <c r="E483" s="3">
        <v>44656.0</v>
      </c>
      <c r="F483" s="1" t="s">
        <v>3</v>
      </c>
      <c r="G483" s="4">
        <v>2.19164211E8</v>
      </c>
      <c r="H483" s="1" t="s">
        <v>1161</v>
      </c>
      <c r="I483" s="2"/>
      <c r="J483" s="1" t="s">
        <v>9</v>
      </c>
      <c r="K483" s="1">
        <v>125.0</v>
      </c>
      <c r="L483" s="1"/>
      <c r="M483" s="5">
        <v>100.0</v>
      </c>
    </row>
    <row r="484" ht="15.75" hidden="1" customHeight="1">
      <c r="A484" s="1" t="s">
        <v>1176</v>
      </c>
      <c r="B484" s="2">
        <v>319.0</v>
      </c>
      <c r="C484" s="1" t="s">
        <v>169</v>
      </c>
      <c r="D484" s="1" t="s">
        <v>1177</v>
      </c>
      <c r="E484" s="3">
        <v>44657.0</v>
      </c>
      <c r="F484" s="1" t="s">
        <v>3</v>
      </c>
      <c r="G484" s="4">
        <v>2.19164211E8</v>
      </c>
      <c r="H484" s="1" t="s">
        <v>1161</v>
      </c>
      <c r="I484" s="2"/>
      <c r="J484" s="1" t="s">
        <v>124</v>
      </c>
      <c r="K484" s="1">
        <v>25.0</v>
      </c>
      <c r="L484" s="1"/>
      <c r="M484" s="5">
        <v>120.0</v>
      </c>
    </row>
    <row r="485" ht="15.75" hidden="1" customHeight="1">
      <c r="A485" s="1" t="s">
        <v>393</v>
      </c>
      <c r="B485" s="2">
        <v>322.0</v>
      </c>
      <c r="C485" s="1" t="s">
        <v>362</v>
      </c>
      <c r="D485" s="1" t="s">
        <v>394</v>
      </c>
      <c r="E485" s="3">
        <v>44659.0</v>
      </c>
      <c r="F485" s="1" t="s">
        <v>3</v>
      </c>
      <c r="G485" s="4">
        <v>2.19164211E8</v>
      </c>
      <c r="H485" s="1" t="s">
        <v>1161</v>
      </c>
      <c r="I485" s="2"/>
      <c r="J485" s="1" t="s">
        <v>124</v>
      </c>
      <c r="K485" s="1">
        <v>25.0</v>
      </c>
      <c r="L485" s="1"/>
      <c r="M485" s="5">
        <v>135.0</v>
      </c>
    </row>
    <row r="486" ht="15.75" hidden="1" customHeight="1">
      <c r="A486" s="1" t="s">
        <v>1178</v>
      </c>
      <c r="B486" s="2">
        <v>327.0</v>
      </c>
      <c r="C486" s="1" t="s">
        <v>461</v>
      </c>
      <c r="D486" s="1" t="s">
        <v>1179</v>
      </c>
      <c r="E486" s="3">
        <v>44676.0</v>
      </c>
      <c r="F486" s="1" t="s">
        <v>3</v>
      </c>
      <c r="G486" s="4">
        <v>2.19164211E8</v>
      </c>
      <c r="H486" s="1" t="s">
        <v>1161</v>
      </c>
      <c r="I486" s="2"/>
      <c r="J486" s="1" t="s">
        <v>124</v>
      </c>
      <c r="K486" s="1">
        <v>100.0</v>
      </c>
      <c r="L486" s="1"/>
      <c r="M486" s="5">
        <v>121.68</v>
      </c>
    </row>
    <row r="487" ht="15.75" hidden="1" customHeight="1">
      <c r="A487" s="1" t="s">
        <v>1180</v>
      </c>
      <c r="B487" s="2">
        <v>332.0</v>
      </c>
      <c r="C487" s="1" t="s">
        <v>449</v>
      </c>
      <c r="D487" s="1" t="s">
        <v>1181</v>
      </c>
      <c r="E487" s="3">
        <v>44679.0</v>
      </c>
      <c r="F487" s="1" t="s">
        <v>3</v>
      </c>
      <c r="G487" s="4">
        <v>2.19164211E8</v>
      </c>
      <c r="H487" s="1" t="s">
        <v>1161</v>
      </c>
      <c r="I487" s="2"/>
      <c r="J487" s="1" t="s">
        <v>9</v>
      </c>
      <c r="K487" s="1">
        <v>125.0</v>
      </c>
      <c r="L487" s="1"/>
      <c r="M487" s="5">
        <v>100.0</v>
      </c>
    </row>
    <row r="488" ht="15.75" hidden="1" customHeight="1">
      <c r="A488" s="1" t="s">
        <v>1182</v>
      </c>
      <c r="B488" s="2">
        <v>333.0</v>
      </c>
      <c r="C488" s="1" t="s">
        <v>769</v>
      </c>
      <c r="D488" s="1" t="s">
        <v>1183</v>
      </c>
      <c r="E488" s="3">
        <v>44684.0</v>
      </c>
      <c r="F488" s="1" t="s">
        <v>3</v>
      </c>
      <c r="G488" s="4">
        <v>2.19164211E8</v>
      </c>
      <c r="H488" s="1" t="s">
        <v>1161</v>
      </c>
      <c r="I488" s="2"/>
      <c r="J488" s="1" t="s">
        <v>16</v>
      </c>
      <c r="K488" s="1">
        <v>15.0</v>
      </c>
      <c r="L488" s="1"/>
      <c r="M488" s="5">
        <v>179.8</v>
      </c>
    </row>
    <row r="489" ht="15.75" hidden="1" customHeight="1">
      <c r="A489" s="1" t="s">
        <v>1184</v>
      </c>
      <c r="B489" s="2">
        <v>334.0</v>
      </c>
      <c r="C489" s="1" t="s">
        <v>680</v>
      </c>
      <c r="D489" s="1" t="s">
        <v>1185</v>
      </c>
      <c r="E489" s="3">
        <v>44684.0</v>
      </c>
      <c r="F489" s="1" t="s">
        <v>3</v>
      </c>
      <c r="G489" s="4">
        <v>2.19164211E8</v>
      </c>
      <c r="H489" s="1" t="s">
        <v>1161</v>
      </c>
      <c r="I489" s="2"/>
      <c r="J489" s="1" t="s">
        <v>9</v>
      </c>
      <c r="K489" s="1">
        <v>5.0</v>
      </c>
      <c r="L489" s="1"/>
      <c r="M489" s="5">
        <v>125.87</v>
      </c>
    </row>
    <row r="490" ht="15.75" hidden="1" customHeight="1">
      <c r="A490" s="1" t="s">
        <v>1186</v>
      </c>
      <c r="B490" s="2">
        <v>337.0</v>
      </c>
      <c r="C490" s="1" t="s">
        <v>1187</v>
      </c>
      <c r="D490" s="1" t="s">
        <v>1188</v>
      </c>
      <c r="E490" s="3">
        <v>44690.0</v>
      </c>
      <c r="F490" s="1" t="s">
        <v>3</v>
      </c>
      <c r="G490" s="4">
        <v>2.19164211E8</v>
      </c>
      <c r="H490" s="1" t="s">
        <v>1161</v>
      </c>
      <c r="I490" s="2"/>
      <c r="J490" s="1" t="s">
        <v>9</v>
      </c>
      <c r="K490" s="1">
        <v>8.5</v>
      </c>
      <c r="L490" s="1"/>
      <c r="M490" s="5">
        <v>115.0</v>
      </c>
    </row>
    <row r="491" ht="15.75" hidden="1" customHeight="1">
      <c r="A491" s="1" t="s">
        <v>1189</v>
      </c>
      <c r="B491" s="2">
        <v>338.0</v>
      </c>
      <c r="C491" s="1" t="s">
        <v>461</v>
      </c>
      <c r="D491" s="1" t="s">
        <v>1190</v>
      </c>
      <c r="E491" s="3">
        <v>44690.0</v>
      </c>
      <c r="F491" s="1" t="s">
        <v>3</v>
      </c>
      <c r="G491" s="4">
        <v>2.19164211E8</v>
      </c>
      <c r="H491" s="1" t="s">
        <v>1161</v>
      </c>
      <c r="I491" s="2"/>
      <c r="J491" s="1" t="s">
        <v>124</v>
      </c>
      <c r="K491" s="1">
        <v>10.0</v>
      </c>
      <c r="L491" s="1"/>
      <c r="M491" s="5">
        <v>125.89</v>
      </c>
    </row>
    <row r="492" ht="15.75" hidden="1" customHeight="1">
      <c r="A492" s="1" t="s">
        <v>1191</v>
      </c>
      <c r="B492" s="2">
        <v>359.0</v>
      </c>
      <c r="C492" s="1" t="s">
        <v>929</v>
      </c>
      <c r="D492" s="1" t="s">
        <v>1192</v>
      </c>
      <c r="E492" s="3">
        <v>44713.0</v>
      </c>
      <c r="F492" s="1" t="s">
        <v>3</v>
      </c>
      <c r="G492" s="4">
        <v>2.19164211E8</v>
      </c>
      <c r="H492" s="1" t="s">
        <v>1161</v>
      </c>
      <c r="I492" s="2"/>
      <c r="J492" s="1" t="s">
        <v>16</v>
      </c>
      <c r="K492" s="1">
        <v>15.0</v>
      </c>
      <c r="L492" s="1"/>
      <c r="M492" s="5">
        <v>155.0</v>
      </c>
    </row>
    <row r="493" ht="15.75" hidden="1" customHeight="1">
      <c r="A493" s="1" t="s">
        <v>1193</v>
      </c>
      <c r="B493" s="2">
        <v>630.0</v>
      </c>
      <c r="C493" s="1" t="s">
        <v>680</v>
      </c>
      <c r="D493" s="1" t="s">
        <v>1194</v>
      </c>
      <c r="E493" s="1" t="s">
        <v>60</v>
      </c>
      <c r="F493" s="1" t="s">
        <v>3</v>
      </c>
      <c r="G493" s="4">
        <v>2.19164211E8</v>
      </c>
      <c r="H493" s="1" t="s">
        <v>1161</v>
      </c>
      <c r="I493" s="2"/>
      <c r="J493" s="1" t="s">
        <v>124</v>
      </c>
      <c r="K493" s="1">
        <v>75.0</v>
      </c>
      <c r="L493" s="1"/>
      <c r="M493" s="5">
        <v>130.65</v>
      </c>
    </row>
    <row r="494" ht="15.75" hidden="1" customHeight="1">
      <c r="A494" s="1" t="s">
        <v>1195</v>
      </c>
      <c r="B494" s="2">
        <v>631.0</v>
      </c>
      <c r="C494" s="1" t="s">
        <v>680</v>
      </c>
      <c r="D494" s="1" t="s">
        <v>1196</v>
      </c>
      <c r="E494" s="1" t="s">
        <v>60</v>
      </c>
      <c r="F494" s="1" t="s">
        <v>3</v>
      </c>
      <c r="G494" s="4">
        <v>2.19164211E8</v>
      </c>
      <c r="H494" s="1" t="s">
        <v>1161</v>
      </c>
      <c r="I494" s="2"/>
      <c r="J494" s="1" t="s">
        <v>124</v>
      </c>
      <c r="K494" s="1">
        <v>75.0</v>
      </c>
      <c r="L494" s="1"/>
      <c r="M494" s="5">
        <v>130.65</v>
      </c>
    </row>
    <row r="495" ht="15.75" hidden="1" customHeight="1">
      <c r="A495" s="1" t="s">
        <v>1197</v>
      </c>
      <c r="B495" s="2">
        <v>494.0</v>
      </c>
      <c r="C495" s="1" t="s">
        <v>422</v>
      </c>
      <c r="D495" s="1" t="s">
        <v>1198</v>
      </c>
      <c r="E495" s="3">
        <v>44922.0</v>
      </c>
      <c r="F495" s="1" t="s">
        <v>3</v>
      </c>
      <c r="G495" s="4">
        <v>2.19168221E8</v>
      </c>
      <c r="H495" s="1" t="s">
        <v>1199</v>
      </c>
      <c r="I495" s="2"/>
      <c r="J495" s="1" t="s">
        <v>124</v>
      </c>
      <c r="K495" s="1">
        <v>1800.0</v>
      </c>
      <c r="L495" s="1"/>
      <c r="M495" s="5">
        <v>104.0</v>
      </c>
    </row>
    <row r="496" ht="15.75" hidden="1" customHeight="1">
      <c r="A496" s="1" t="s">
        <v>1200</v>
      </c>
      <c r="B496" s="2">
        <v>646.0</v>
      </c>
      <c r="C496" s="1" t="s">
        <v>422</v>
      </c>
      <c r="D496" s="1" t="s">
        <v>1201</v>
      </c>
      <c r="E496" s="1" t="s">
        <v>60</v>
      </c>
      <c r="F496" s="1" t="s">
        <v>3</v>
      </c>
      <c r="G496" s="4">
        <v>2.19168221E8</v>
      </c>
      <c r="H496" s="1" t="s">
        <v>1199</v>
      </c>
      <c r="I496" s="2"/>
      <c r="J496" s="1" t="s">
        <v>124</v>
      </c>
      <c r="K496" s="1">
        <v>1800.0</v>
      </c>
      <c r="L496" s="1"/>
      <c r="M496" s="5">
        <v>104.0</v>
      </c>
    </row>
    <row r="497" ht="15.75" hidden="1" customHeight="1">
      <c r="A497" s="1" t="s">
        <v>1202</v>
      </c>
      <c r="B497" s="2">
        <v>266.0</v>
      </c>
      <c r="C497" s="1" t="s">
        <v>461</v>
      </c>
      <c r="D497" s="1" t="s">
        <v>1203</v>
      </c>
      <c r="E497" s="3">
        <v>44580.0</v>
      </c>
      <c r="F497" s="1" t="s">
        <v>3</v>
      </c>
      <c r="G497" s="4">
        <v>2.19174211E8</v>
      </c>
      <c r="H497" s="1" t="s">
        <v>1204</v>
      </c>
      <c r="I497" s="2"/>
      <c r="J497" s="1" t="s">
        <v>124</v>
      </c>
      <c r="K497" s="1">
        <v>25.0</v>
      </c>
      <c r="L497" s="1"/>
      <c r="M497" s="5">
        <v>123.68</v>
      </c>
    </row>
    <row r="498" ht="15.75" hidden="1" customHeight="1">
      <c r="A498" s="1" t="s">
        <v>26</v>
      </c>
      <c r="B498" s="2">
        <v>283.0</v>
      </c>
      <c r="C498" s="1" t="s">
        <v>27</v>
      </c>
      <c r="D498" s="1" t="s">
        <v>28</v>
      </c>
      <c r="E498" s="3">
        <v>44606.0</v>
      </c>
      <c r="F498" s="1" t="s">
        <v>3</v>
      </c>
      <c r="G498" s="4">
        <v>2.19180211E8</v>
      </c>
      <c r="H498" s="1" t="s">
        <v>1205</v>
      </c>
      <c r="I498" s="2"/>
      <c r="J498" s="1" t="s">
        <v>124</v>
      </c>
      <c r="K498" s="1">
        <v>20.0</v>
      </c>
      <c r="L498" s="1"/>
      <c r="M498" s="5">
        <v>108.48</v>
      </c>
    </row>
    <row r="499" ht="15.75" hidden="1" customHeight="1">
      <c r="A499" s="1" t="s">
        <v>1206</v>
      </c>
      <c r="B499" s="2">
        <v>288.0</v>
      </c>
      <c r="C499" s="1" t="s">
        <v>219</v>
      </c>
      <c r="D499" s="1" t="s">
        <v>1207</v>
      </c>
      <c r="E499" s="3">
        <v>44615.0</v>
      </c>
      <c r="F499" s="1" t="s">
        <v>3</v>
      </c>
      <c r="G499" s="4">
        <v>2.19180211E8</v>
      </c>
      <c r="H499" s="1" t="s">
        <v>1205</v>
      </c>
      <c r="I499" s="2"/>
      <c r="J499" s="1" t="s">
        <v>124</v>
      </c>
      <c r="K499" s="1">
        <v>100.0</v>
      </c>
      <c r="L499" s="1"/>
      <c r="M499" s="5">
        <v>100.0</v>
      </c>
    </row>
    <row r="500" ht="15.75" hidden="1" customHeight="1">
      <c r="A500" s="1" t="s">
        <v>1208</v>
      </c>
      <c r="B500" s="2">
        <v>296.0</v>
      </c>
      <c r="C500" s="1" t="s">
        <v>27</v>
      </c>
      <c r="D500" s="1" t="s">
        <v>1009</v>
      </c>
      <c r="E500" s="3">
        <v>44622.0</v>
      </c>
      <c r="F500" s="1" t="s">
        <v>3</v>
      </c>
      <c r="G500" s="4">
        <v>2.19180211E8</v>
      </c>
      <c r="H500" s="1" t="s">
        <v>1205</v>
      </c>
      <c r="I500" s="2"/>
      <c r="J500" s="1" t="s">
        <v>124</v>
      </c>
      <c r="K500" s="1">
        <v>20.0</v>
      </c>
      <c r="L500" s="1"/>
      <c r="M500" s="5">
        <v>120.22</v>
      </c>
    </row>
    <row r="501" ht="15.75" hidden="1" customHeight="1">
      <c r="A501" s="1" t="s">
        <v>228</v>
      </c>
      <c r="B501" s="2">
        <v>262.0</v>
      </c>
      <c r="C501" s="1" t="s">
        <v>126</v>
      </c>
      <c r="D501" s="1" t="s">
        <v>229</v>
      </c>
      <c r="E501" s="3">
        <v>44567.0</v>
      </c>
      <c r="F501" s="1" t="s">
        <v>3</v>
      </c>
      <c r="G501" s="4">
        <v>2.19184211E8</v>
      </c>
      <c r="H501" s="1" t="s">
        <v>1209</v>
      </c>
      <c r="I501" s="2"/>
      <c r="J501" s="1" t="s">
        <v>124</v>
      </c>
      <c r="K501" s="1">
        <v>2.0</v>
      </c>
      <c r="L501" s="1"/>
      <c r="M501" s="5">
        <v>149.19</v>
      </c>
    </row>
    <row r="502" ht="15.75" hidden="1" customHeight="1">
      <c r="A502" s="1" t="s">
        <v>114</v>
      </c>
      <c r="B502" s="2">
        <v>264.0</v>
      </c>
      <c r="C502" s="1" t="s">
        <v>80</v>
      </c>
      <c r="D502" s="1" t="s">
        <v>115</v>
      </c>
      <c r="E502" s="3">
        <v>44571.0</v>
      </c>
      <c r="F502" s="1" t="s">
        <v>3</v>
      </c>
      <c r="G502" s="4">
        <v>2.19185211E8</v>
      </c>
      <c r="H502" s="1" t="s">
        <v>1210</v>
      </c>
      <c r="I502" s="2"/>
      <c r="J502" s="1" t="s">
        <v>416</v>
      </c>
      <c r="K502" s="1">
        <v>150.0</v>
      </c>
      <c r="L502" s="1"/>
      <c r="M502" s="5">
        <v>125.0</v>
      </c>
    </row>
    <row r="503" ht="15.75" hidden="1" customHeight="1">
      <c r="A503" s="1" t="s">
        <v>1211</v>
      </c>
      <c r="B503" s="2">
        <v>654.0</v>
      </c>
      <c r="C503" s="1" t="s">
        <v>84</v>
      </c>
      <c r="D503" s="1" t="s">
        <v>1212</v>
      </c>
      <c r="E503" s="3">
        <v>45132.0</v>
      </c>
      <c r="F503" s="1" t="s">
        <v>3</v>
      </c>
      <c r="G503" s="4">
        <v>2.40097231E8</v>
      </c>
      <c r="H503" s="1" t="s">
        <v>1213</v>
      </c>
      <c r="I503" s="2"/>
      <c r="J503" s="1" t="s">
        <v>1214</v>
      </c>
      <c r="K503" s="1">
        <v>3158.97</v>
      </c>
      <c r="L503" s="1"/>
      <c r="M503" s="5">
        <v>5.78</v>
      </c>
    </row>
    <row r="504" ht="15.75" hidden="1" customHeight="1">
      <c r="A504" s="1" t="s">
        <v>1215</v>
      </c>
      <c r="B504" s="2">
        <v>31.0</v>
      </c>
      <c r="C504" s="1" t="s">
        <v>1216</v>
      </c>
      <c r="D504" s="1" t="s">
        <v>1217</v>
      </c>
      <c r="E504" s="3">
        <v>44417.0</v>
      </c>
      <c r="F504" s="1" t="s">
        <v>3</v>
      </c>
      <c r="G504" s="4">
        <v>2.47018211E8</v>
      </c>
      <c r="I504" s="2"/>
      <c r="J504" s="1" t="s">
        <v>1218</v>
      </c>
      <c r="K504" s="1">
        <v>220.0</v>
      </c>
      <c r="L504" s="1"/>
      <c r="M504" s="5">
        <v>10.29</v>
      </c>
    </row>
    <row r="505" ht="15.75" hidden="1" customHeight="1">
      <c r="A505" s="1" t="s">
        <v>1219</v>
      </c>
      <c r="B505" s="2">
        <v>32.0</v>
      </c>
      <c r="C505" s="1" t="s">
        <v>1216</v>
      </c>
      <c r="D505" s="1" t="s">
        <v>1220</v>
      </c>
      <c r="E505" s="3">
        <v>44417.0</v>
      </c>
      <c r="F505" s="1" t="s">
        <v>3</v>
      </c>
      <c r="G505" s="4">
        <v>2.47018211E8</v>
      </c>
      <c r="I505" s="2"/>
      <c r="J505" s="1" t="s">
        <v>1218</v>
      </c>
      <c r="K505" s="1">
        <v>880.0</v>
      </c>
      <c r="L505" s="1"/>
      <c r="M505" s="5">
        <v>3.55</v>
      </c>
    </row>
    <row r="506" ht="15.75" hidden="1" customHeight="1">
      <c r="A506" s="1" t="s">
        <v>515</v>
      </c>
      <c r="B506" s="2">
        <v>315.0</v>
      </c>
      <c r="C506" s="1" t="s">
        <v>286</v>
      </c>
      <c r="D506" s="1" t="s">
        <v>516</v>
      </c>
      <c r="E506" s="3">
        <v>44656.0</v>
      </c>
      <c r="F506" s="1" t="s">
        <v>3</v>
      </c>
      <c r="G506" s="4">
        <v>2.56042221E8</v>
      </c>
      <c r="H506" s="1" t="s">
        <v>1221</v>
      </c>
      <c r="I506" s="2"/>
      <c r="J506" s="1" t="s">
        <v>416</v>
      </c>
      <c r="K506" s="1">
        <v>100.0</v>
      </c>
      <c r="L506" s="1"/>
      <c r="M506" s="5">
        <v>120.0</v>
      </c>
    </row>
    <row r="507" ht="15.75" hidden="1" customHeight="1">
      <c r="A507" s="1" t="s">
        <v>1222</v>
      </c>
      <c r="B507" s="2">
        <v>320.0</v>
      </c>
      <c r="C507" s="1" t="s">
        <v>500</v>
      </c>
      <c r="D507" s="1" t="s">
        <v>1223</v>
      </c>
      <c r="E507" s="3">
        <v>44657.0</v>
      </c>
      <c r="F507" s="1" t="s">
        <v>3</v>
      </c>
      <c r="G507" s="4">
        <v>2.56054221E8</v>
      </c>
      <c r="H507" s="1" t="s">
        <v>1224</v>
      </c>
      <c r="I507" s="2"/>
      <c r="J507" s="1" t="s">
        <v>416</v>
      </c>
      <c r="K507" s="1">
        <v>15.0</v>
      </c>
      <c r="L507" s="1"/>
      <c r="M507" s="5">
        <v>159.19</v>
      </c>
    </row>
    <row r="508" ht="15.75" hidden="1" customHeight="1">
      <c r="A508" s="1" t="s">
        <v>1225</v>
      </c>
      <c r="B508" s="2">
        <v>397.0</v>
      </c>
      <c r="C508" s="1" t="s">
        <v>500</v>
      </c>
      <c r="D508" s="1" t="s">
        <v>1226</v>
      </c>
      <c r="E508" s="3">
        <v>44776.0</v>
      </c>
      <c r="F508" s="1" t="s">
        <v>3</v>
      </c>
      <c r="G508" s="4">
        <v>2.56099221E8</v>
      </c>
      <c r="H508" s="1" t="s">
        <v>1227</v>
      </c>
      <c r="I508" s="2"/>
      <c r="J508" s="1" t="s">
        <v>416</v>
      </c>
      <c r="K508" s="1">
        <v>100.0</v>
      </c>
      <c r="L508" s="1"/>
      <c r="M508" s="5">
        <v>154.61</v>
      </c>
    </row>
    <row r="509" ht="15.75" hidden="1" customHeight="1">
      <c r="A509" s="1" t="s">
        <v>1228</v>
      </c>
      <c r="B509" s="2">
        <v>108.0</v>
      </c>
      <c r="C509" s="1" t="s">
        <v>500</v>
      </c>
      <c r="D509" s="1" t="s">
        <v>1229</v>
      </c>
      <c r="E509" s="3">
        <v>44419.0</v>
      </c>
      <c r="F509" s="1" t="s">
        <v>3</v>
      </c>
      <c r="G509" s="4">
        <v>2.56142201E8</v>
      </c>
      <c r="H509" s="1" t="s">
        <v>1230</v>
      </c>
      <c r="I509" s="2"/>
      <c r="J509" s="1" t="s">
        <v>416</v>
      </c>
      <c r="K509" s="1">
        <v>50.0</v>
      </c>
      <c r="L509" s="1"/>
      <c r="M509" s="5">
        <v>162.2</v>
      </c>
    </row>
    <row r="510" ht="15.75" hidden="1" customHeight="1">
      <c r="A510" s="1" t="s">
        <v>1231</v>
      </c>
      <c r="B510" s="2">
        <v>74.0</v>
      </c>
      <c r="C510" s="1" t="s">
        <v>169</v>
      </c>
      <c r="D510" s="1" t="s">
        <v>1232</v>
      </c>
      <c r="E510" s="3">
        <v>44418.0</v>
      </c>
      <c r="F510" s="1" t="s">
        <v>3</v>
      </c>
      <c r="G510" s="4">
        <v>2.59046211E8</v>
      </c>
      <c r="I510" s="2"/>
      <c r="J510" s="1" t="s">
        <v>1233</v>
      </c>
      <c r="K510" s="1">
        <v>25.0</v>
      </c>
      <c r="L510" s="1"/>
      <c r="M510" s="5">
        <v>18.5</v>
      </c>
    </row>
    <row r="511" ht="15.75" hidden="1" customHeight="1">
      <c r="A511" s="1" t="s">
        <v>1234</v>
      </c>
      <c r="B511" s="2">
        <v>17.0</v>
      </c>
      <c r="C511" s="1" t="s">
        <v>1235</v>
      </c>
      <c r="D511" s="1" t="s">
        <v>1236</v>
      </c>
      <c r="E511" s="3">
        <v>44417.0</v>
      </c>
      <c r="F511" s="1" t="s">
        <v>3</v>
      </c>
      <c r="G511" s="4">
        <v>2.60007211E8</v>
      </c>
      <c r="I511" s="2"/>
      <c r="J511" s="1" t="s">
        <v>1237</v>
      </c>
      <c r="K511" s="1">
        <v>60.0</v>
      </c>
      <c r="L511" s="1"/>
      <c r="M511" s="5">
        <v>40.367</v>
      </c>
    </row>
    <row r="512" ht="15.75" hidden="1" customHeight="1">
      <c r="A512" s="1" t="s">
        <v>1238</v>
      </c>
      <c r="B512" s="2">
        <v>335.0</v>
      </c>
      <c r="C512" s="1" t="s">
        <v>1239</v>
      </c>
      <c r="D512" s="1" t="s">
        <v>1240</v>
      </c>
      <c r="E512" s="3">
        <v>44684.0</v>
      </c>
      <c r="F512" s="1" t="s">
        <v>3</v>
      </c>
      <c r="G512" s="4">
        <v>2.60065221E8</v>
      </c>
      <c r="H512" s="1" t="s">
        <v>1241</v>
      </c>
      <c r="I512" s="2"/>
      <c r="J512" s="1" t="s">
        <v>1237</v>
      </c>
      <c r="K512" s="1">
        <v>25.0</v>
      </c>
      <c r="L512" s="1"/>
      <c r="M512" s="5">
        <v>45.0</v>
      </c>
    </row>
    <row r="513" ht="15.75" hidden="1" customHeight="1">
      <c r="A513" s="1" t="s">
        <v>1242</v>
      </c>
      <c r="B513" s="2">
        <v>151.0</v>
      </c>
      <c r="C513" s="1" t="s">
        <v>1239</v>
      </c>
      <c r="D513" s="1" t="s">
        <v>1243</v>
      </c>
      <c r="E513" s="3">
        <v>44438.0</v>
      </c>
      <c r="F513" s="1" t="s">
        <v>3</v>
      </c>
      <c r="G513" s="4">
        <v>2.60103211E8</v>
      </c>
      <c r="H513" s="1" t="s">
        <v>1244</v>
      </c>
      <c r="I513" s="2"/>
      <c r="J513" s="1" t="s">
        <v>1237</v>
      </c>
      <c r="K513" s="1">
        <v>20.0</v>
      </c>
      <c r="L513" s="1"/>
      <c r="M513" s="5">
        <v>40.37</v>
      </c>
    </row>
    <row r="514" ht="15.75" hidden="1" customHeight="1">
      <c r="A514" s="1" t="s">
        <v>1245</v>
      </c>
      <c r="B514" s="2">
        <v>156.0</v>
      </c>
      <c r="C514" s="1" t="s">
        <v>1239</v>
      </c>
      <c r="D514" s="1" t="s">
        <v>1246</v>
      </c>
      <c r="E514" s="3">
        <v>44438.0</v>
      </c>
      <c r="F514" s="1" t="s">
        <v>3</v>
      </c>
      <c r="G514" s="4">
        <v>2.60103211E8</v>
      </c>
      <c r="H514" s="1" t="s">
        <v>1244</v>
      </c>
      <c r="I514" s="2"/>
      <c r="J514" s="1" t="s">
        <v>1237</v>
      </c>
      <c r="K514" s="1">
        <v>40.0</v>
      </c>
      <c r="L514" s="1"/>
      <c r="M514" s="5">
        <v>40.367</v>
      </c>
    </row>
    <row r="515" ht="15.75" hidden="1" customHeight="1">
      <c r="A515" s="1" t="s">
        <v>1247</v>
      </c>
      <c r="B515" s="2">
        <v>402.0</v>
      </c>
      <c r="C515" s="1" t="s">
        <v>1239</v>
      </c>
      <c r="D515" s="1" t="s">
        <v>1248</v>
      </c>
      <c r="E515" s="3">
        <v>44784.0</v>
      </c>
      <c r="F515" s="1" t="s">
        <v>3</v>
      </c>
      <c r="G515" s="4">
        <v>2.60119221E8</v>
      </c>
      <c r="H515" s="1" t="s">
        <v>1249</v>
      </c>
      <c r="I515" s="2"/>
      <c r="J515" s="1" t="s">
        <v>1237</v>
      </c>
      <c r="K515" s="1">
        <v>20.0</v>
      </c>
      <c r="L515" s="1"/>
      <c r="M515" s="5">
        <v>45.0</v>
      </c>
    </row>
    <row r="516" ht="15.75" hidden="1" customHeight="1">
      <c r="A516" s="1" t="s">
        <v>1250</v>
      </c>
      <c r="B516" s="2">
        <v>437.0</v>
      </c>
      <c r="C516" s="1" t="s">
        <v>1239</v>
      </c>
      <c r="D516" s="1" t="s">
        <v>1251</v>
      </c>
      <c r="E516" s="3">
        <v>44825.0</v>
      </c>
      <c r="F516" s="1" t="s">
        <v>3</v>
      </c>
      <c r="G516" s="4">
        <v>2.60136221E8</v>
      </c>
      <c r="H516" s="1" t="s">
        <v>1252</v>
      </c>
      <c r="I516" s="2"/>
      <c r="J516" s="1" t="s">
        <v>1237</v>
      </c>
      <c r="K516" s="1">
        <v>35.0</v>
      </c>
      <c r="L516" s="1"/>
      <c r="M516" s="5">
        <v>45.0</v>
      </c>
    </row>
    <row r="517" ht="15.75" hidden="1" customHeight="1">
      <c r="A517" s="1" t="s">
        <v>1253</v>
      </c>
      <c r="B517" s="2">
        <v>488.0</v>
      </c>
      <c r="C517" s="1" t="s">
        <v>1239</v>
      </c>
      <c r="D517" s="1" t="s">
        <v>1254</v>
      </c>
      <c r="E517" s="3">
        <v>44914.0</v>
      </c>
      <c r="F517" s="1" t="s">
        <v>3</v>
      </c>
      <c r="G517" s="4">
        <v>2.60165221E8</v>
      </c>
      <c r="H517" s="1" t="s">
        <v>1255</v>
      </c>
      <c r="I517" s="2"/>
      <c r="J517" s="1" t="s">
        <v>1237</v>
      </c>
      <c r="K517" s="1">
        <v>30.0</v>
      </c>
      <c r="L517" s="1"/>
      <c r="M517" s="5">
        <v>45.0</v>
      </c>
    </row>
    <row r="518" ht="15.75" hidden="1" customHeight="1">
      <c r="A518" s="1" t="s">
        <v>1256</v>
      </c>
      <c r="B518" s="2">
        <v>282.0</v>
      </c>
      <c r="C518" s="1" t="s">
        <v>27</v>
      </c>
      <c r="D518" s="1" t="s">
        <v>1257</v>
      </c>
      <c r="E518" s="3">
        <v>44606.0</v>
      </c>
      <c r="F518" s="1" t="s">
        <v>3</v>
      </c>
      <c r="G518" s="4">
        <v>2.62020221E8</v>
      </c>
      <c r="H518" s="1" t="s">
        <v>1258</v>
      </c>
      <c r="I518" s="2"/>
      <c r="J518" s="1" t="s">
        <v>1259</v>
      </c>
      <c r="K518" s="1">
        <v>1500.0</v>
      </c>
      <c r="L518" s="1"/>
      <c r="M518" s="5">
        <v>106.0</v>
      </c>
    </row>
    <row r="519" ht="15.75" hidden="1" customHeight="1">
      <c r="A519" s="1" t="s">
        <v>1260</v>
      </c>
      <c r="B519" s="2">
        <v>346.0</v>
      </c>
      <c r="C519" s="1" t="s">
        <v>27</v>
      </c>
      <c r="D519" s="1" t="s">
        <v>1261</v>
      </c>
      <c r="E519" s="3">
        <v>44701.0</v>
      </c>
      <c r="F519" s="1" t="s">
        <v>3</v>
      </c>
      <c r="G519" s="4">
        <v>2.62068221E8</v>
      </c>
      <c r="H519" s="1" t="s">
        <v>1262</v>
      </c>
      <c r="I519" s="2"/>
      <c r="J519" s="1" t="s">
        <v>1259</v>
      </c>
      <c r="K519" s="1">
        <v>1500.0</v>
      </c>
      <c r="L519" s="1"/>
      <c r="M519" s="5">
        <v>106.0</v>
      </c>
    </row>
    <row r="520" ht="15.75" hidden="1" customHeight="1">
      <c r="A520" s="1" t="s">
        <v>1263</v>
      </c>
      <c r="B520" s="2">
        <v>1104.0</v>
      </c>
      <c r="C520" s="1" t="s">
        <v>1264</v>
      </c>
      <c r="D520" s="1" t="s">
        <v>1265</v>
      </c>
      <c r="E520" s="3">
        <v>45862.0</v>
      </c>
      <c r="F520" s="1" t="s">
        <v>3</v>
      </c>
      <c r="G520" s="4">
        <v>2.62089251E8</v>
      </c>
      <c r="H520" s="1" t="s">
        <v>1266</v>
      </c>
      <c r="I520" s="2"/>
      <c r="J520" s="1" t="s">
        <v>1259</v>
      </c>
      <c r="K520" s="1">
        <v>1000.0</v>
      </c>
      <c r="L520" s="1"/>
      <c r="M520" s="5">
        <v>121.0</v>
      </c>
    </row>
    <row r="521" ht="15.75" hidden="1" customHeight="1">
      <c r="A521" s="1" t="s">
        <v>1267</v>
      </c>
      <c r="B521" s="2">
        <v>414.0</v>
      </c>
      <c r="C521" s="1" t="s">
        <v>27</v>
      </c>
      <c r="D521" s="1" t="s">
        <v>1268</v>
      </c>
      <c r="E521" s="3">
        <v>44804.0</v>
      </c>
      <c r="F521" s="1" t="s">
        <v>3</v>
      </c>
      <c r="G521" s="4">
        <v>2.62122221E8</v>
      </c>
      <c r="H521" s="1" t="s">
        <v>1269</v>
      </c>
      <c r="I521" s="2"/>
      <c r="J521" s="1" t="s">
        <v>1270</v>
      </c>
      <c r="K521" s="1">
        <v>1500.0</v>
      </c>
      <c r="L521" s="1"/>
      <c r="M521" s="5">
        <v>106.0</v>
      </c>
    </row>
    <row r="522" ht="15.75" hidden="1" customHeight="1">
      <c r="A522" s="1" t="s">
        <v>1271</v>
      </c>
      <c r="B522" s="2">
        <v>705.0</v>
      </c>
      <c r="C522" s="1" t="s">
        <v>1264</v>
      </c>
      <c r="D522" s="1" t="s">
        <v>1272</v>
      </c>
      <c r="E522" s="3">
        <v>45223.0</v>
      </c>
      <c r="F522" s="1" t="s">
        <v>3</v>
      </c>
      <c r="G522" s="4">
        <v>2.62142231E8</v>
      </c>
      <c r="H522" s="1" t="s">
        <v>1273</v>
      </c>
      <c r="I522" s="2"/>
      <c r="J522" s="1" t="s">
        <v>1259</v>
      </c>
      <c r="K522" s="1">
        <v>2000.0</v>
      </c>
      <c r="L522" s="1"/>
      <c r="M522" s="5">
        <v>115.0</v>
      </c>
    </row>
    <row r="523" ht="15.75" hidden="1" customHeight="1">
      <c r="A523" s="1" t="s">
        <v>1274</v>
      </c>
      <c r="B523" s="2">
        <v>94.0</v>
      </c>
      <c r="C523" s="1" t="s">
        <v>286</v>
      </c>
      <c r="D523" s="1" t="s">
        <v>1275</v>
      </c>
      <c r="E523" s="3">
        <v>44418.0</v>
      </c>
      <c r="F523" s="1" t="s">
        <v>3</v>
      </c>
      <c r="G523" s="4">
        <v>2.64037211E8</v>
      </c>
      <c r="I523" s="2"/>
      <c r="J523" s="1" t="s">
        <v>1276</v>
      </c>
      <c r="K523" s="1">
        <v>1000.0</v>
      </c>
      <c r="L523" s="1"/>
      <c r="M523" s="5">
        <v>5.5</v>
      </c>
    </row>
    <row r="524" ht="15.75" hidden="1" customHeight="1">
      <c r="A524" s="1" t="s">
        <v>1277</v>
      </c>
      <c r="B524" s="2">
        <v>548.0</v>
      </c>
      <c r="C524" s="1" t="s">
        <v>286</v>
      </c>
      <c r="D524" s="1" t="s">
        <v>1278</v>
      </c>
      <c r="E524" s="3">
        <v>45027.0</v>
      </c>
      <c r="F524" s="1" t="s">
        <v>3</v>
      </c>
      <c r="G524" s="4">
        <v>2.64052231E8</v>
      </c>
      <c r="H524" s="1" t="s">
        <v>1279</v>
      </c>
      <c r="I524" s="2"/>
      <c r="J524" s="1" t="s">
        <v>1276</v>
      </c>
      <c r="K524" s="1">
        <v>5242.63</v>
      </c>
      <c r="L524" s="1"/>
      <c r="M524" s="5">
        <v>6.27</v>
      </c>
    </row>
    <row r="525" ht="15.75" hidden="1" customHeight="1">
      <c r="A525" s="1" t="s">
        <v>1280</v>
      </c>
      <c r="B525" s="2">
        <v>620.0</v>
      </c>
      <c r="C525" s="1" t="s">
        <v>286</v>
      </c>
      <c r="D525" s="1" t="s">
        <v>1281</v>
      </c>
      <c r="E525" s="1" t="s">
        <v>60</v>
      </c>
      <c r="F525" s="1" t="s">
        <v>3</v>
      </c>
      <c r="G525" s="4">
        <v>2.64052231E8</v>
      </c>
      <c r="H525" s="1" t="s">
        <v>1279</v>
      </c>
      <c r="I525" s="2"/>
      <c r="J525" s="1" t="s">
        <v>1276</v>
      </c>
      <c r="K525" s="1">
        <v>242.63</v>
      </c>
      <c r="L525" s="1"/>
      <c r="M525" s="5">
        <v>6.27</v>
      </c>
    </row>
    <row r="526" ht="15.75" hidden="1" customHeight="1">
      <c r="A526" s="1" t="s">
        <v>1282</v>
      </c>
      <c r="B526" s="2">
        <v>162.0</v>
      </c>
      <c r="C526" s="1" t="s">
        <v>286</v>
      </c>
      <c r="D526" s="1" t="s">
        <v>1283</v>
      </c>
      <c r="E526" s="3">
        <v>44461.0</v>
      </c>
      <c r="F526" s="1" t="s">
        <v>3</v>
      </c>
      <c r="G526" s="4">
        <v>2.64096211E8</v>
      </c>
      <c r="H526" s="1" t="s">
        <v>1284</v>
      </c>
      <c r="I526" s="2"/>
      <c r="J526" s="1" t="s">
        <v>1276</v>
      </c>
      <c r="K526" s="1">
        <v>1000.0</v>
      </c>
      <c r="L526" s="1"/>
      <c r="M526" s="5">
        <v>5.5</v>
      </c>
    </row>
    <row r="527" ht="15.75" hidden="1" customHeight="1">
      <c r="A527" s="1" t="s">
        <v>311</v>
      </c>
      <c r="B527" s="2">
        <v>400.0</v>
      </c>
      <c r="C527" s="1" t="s">
        <v>286</v>
      </c>
      <c r="D527" s="1" t="s">
        <v>312</v>
      </c>
      <c r="E527" s="3">
        <v>44781.0</v>
      </c>
      <c r="F527" s="1" t="s">
        <v>3</v>
      </c>
      <c r="G527" s="4">
        <v>2.64105221E8</v>
      </c>
      <c r="H527" s="1" t="s">
        <v>1285</v>
      </c>
      <c r="I527" s="2"/>
      <c r="J527" s="1" t="s">
        <v>1276</v>
      </c>
      <c r="K527" s="1">
        <v>1515.51</v>
      </c>
      <c r="L527" s="1"/>
      <c r="M527" s="5">
        <v>5.6</v>
      </c>
    </row>
    <row r="528" ht="15.75" hidden="1" customHeight="1">
      <c r="A528" s="1" t="s">
        <v>1286</v>
      </c>
      <c r="B528" s="2">
        <v>117.0</v>
      </c>
      <c r="C528" s="1" t="s">
        <v>890</v>
      </c>
      <c r="D528" s="1" t="s">
        <v>1287</v>
      </c>
      <c r="E528" s="3">
        <v>44424.0</v>
      </c>
      <c r="F528" s="1" t="s">
        <v>3</v>
      </c>
      <c r="G528" s="4">
        <v>2.65020211E8</v>
      </c>
      <c r="H528" s="1" t="s">
        <v>1288</v>
      </c>
      <c r="I528" s="2"/>
      <c r="J528" s="1" t="s">
        <v>124</v>
      </c>
      <c r="K528" s="1">
        <v>50.0</v>
      </c>
      <c r="L528" s="1"/>
      <c r="M528" s="5">
        <v>118.82</v>
      </c>
    </row>
    <row r="529" ht="15.75" hidden="1" customHeight="1">
      <c r="A529" s="1" t="s">
        <v>1289</v>
      </c>
      <c r="B529" s="2">
        <v>158.0</v>
      </c>
      <c r="C529" s="1" t="s">
        <v>165</v>
      </c>
      <c r="D529" s="1" t="s">
        <v>1290</v>
      </c>
      <c r="E529" s="3">
        <v>44440.0</v>
      </c>
      <c r="F529" s="1" t="s">
        <v>3</v>
      </c>
      <c r="G529" s="4">
        <v>2.65020211E8</v>
      </c>
      <c r="H529" s="1" t="s">
        <v>1288</v>
      </c>
      <c r="I529" s="2"/>
      <c r="J529" s="1" t="s">
        <v>16</v>
      </c>
      <c r="K529" s="1">
        <v>20.0</v>
      </c>
      <c r="L529" s="1"/>
      <c r="M529" s="5">
        <v>105.01</v>
      </c>
    </row>
    <row r="530" ht="15.75" hidden="1" customHeight="1">
      <c r="A530" s="1" t="s">
        <v>1291</v>
      </c>
      <c r="B530" s="2">
        <v>200.0</v>
      </c>
      <c r="C530" s="1" t="s">
        <v>797</v>
      </c>
      <c r="D530" s="1" t="s">
        <v>1292</v>
      </c>
      <c r="E530" s="3">
        <v>44487.0</v>
      </c>
      <c r="F530" s="1" t="s">
        <v>3</v>
      </c>
      <c r="G530" s="4">
        <v>2.65020211E8</v>
      </c>
      <c r="H530" s="1" t="s">
        <v>1288</v>
      </c>
      <c r="I530" s="2"/>
      <c r="J530" s="1" t="s">
        <v>124</v>
      </c>
      <c r="K530" s="1">
        <v>12.0</v>
      </c>
      <c r="L530" s="1"/>
      <c r="M530" s="5">
        <v>105.0</v>
      </c>
    </row>
    <row r="531" ht="15.75" hidden="1" customHeight="1">
      <c r="A531" s="1" t="s">
        <v>1293</v>
      </c>
      <c r="B531" s="2">
        <v>40.0</v>
      </c>
      <c r="C531" s="1" t="s">
        <v>11</v>
      </c>
      <c r="D531" s="1" t="s">
        <v>1294</v>
      </c>
      <c r="E531" s="3">
        <v>44417.0</v>
      </c>
      <c r="F531" s="1" t="s">
        <v>3</v>
      </c>
      <c r="G531" s="4">
        <v>2.65087201E8</v>
      </c>
      <c r="I531" s="2"/>
      <c r="J531" s="1" t="s">
        <v>9</v>
      </c>
      <c r="K531" s="1">
        <v>50.0</v>
      </c>
      <c r="L531" s="1"/>
      <c r="M531" s="5">
        <v>105.01</v>
      </c>
    </row>
    <row r="532" ht="15.75" hidden="1" customHeight="1">
      <c r="A532" s="1" t="s">
        <v>1295</v>
      </c>
      <c r="B532" s="2">
        <v>216.0</v>
      </c>
      <c r="C532" s="1" t="s">
        <v>890</v>
      </c>
      <c r="D532" s="1" t="s">
        <v>1296</v>
      </c>
      <c r="E532" s="3">
        <v>44508.0</v>
      </c>
      <c r="F532" s="1" t="s">
        <v>3</v>
      </c>
      <c r="G532" s="4">
        <v>2.65089211E8</v>
      </c>
      <c r="H532" s="1" t="s">
        <v>1297</v>
      </c>
      <c r="I532" s="2"/>
      <c r="J532" s="1" t="s">
        <v>124</v>
      </c>
      <c r="K532" s="1">
        <v>50.0</v>
      </c>
      <c r="L532" s="1"/>
      <c r="M532" s="5">
        <v>118.82</v>
      </c>
    </row>
    <row r="533" ht="15.75" hidden="1" customHeight="1">
      <c r="A533" s="1" t="s">
        <v>1298</v>
      </c>
      <c r="B533" s="2">
        <v>218.0</v>
      </c>
      <c r="C533" s="1" t="s">
        <v>11</v>
      </c>
      <c r="D533" s="1" t="s">
        <v>1299</v>
      </c>
      <c r="E533" s="3">
        <v>44522.0</v>
      </c>
      <c r="F533" s="1" t="s">
        <v>3</v>
      </c>
      <c r="G533" s="4">
        <v>2.65089211E8</v>
      </c>
      <c r="H533" s="1" t="s">
        <v>1297</v>
      </c>
      <c r="I533" s="2"/>
      <c r="J533" s="1" t="s">
        <v>16</v>
      </c>
      <c r="K533" s="1">
        <v>50.0</v>
      </c>
      <c r="L533" s="1"/>
      <c r="M533" s="5">
        <v>105.0</v>
      </c>
    </row>
    <row r="534" ht="15.75" hidden="1" customHeight="1">
      <c r="A534" s="1" t="s">
        <v>1300</v>
      </c>
      <c r="B534" s="2">
        <v>432.0</v>
      </c>
      <c r="C534" s="1" t="s">
        <v>491</v>
      </c>
      <c r="D534" s="1" t="s">
        <v>1301</v>
      </c>
      <c r="E534" s="3">
        <v>44817.0</v>
      </c>
      <c r="F534" s="1" t="s">
        <v>3</v>
      </c>
      <c r="G534" s="4">
        <v>2.65089211E8</v>
      </c>
      <c r="H534" s="1" t="s">
        <v>1297</v>
      </c>
      <c r="I534" s="2"/>
      <c r="J534" s="1" t="s">
        <v>124</v>
      </c>
      <c r="K534" s="1">
        <v>10.0</v>
      </c>
      <c r="L534" s="1"/>
      <c r="M534" s="5">
        <v>85.16</v>
      </c>
    </row>
    <row r="535" ht="15.75" hidden="1" customHeight="1">
      <c r="A535" s="1" t="s">
        <v>1300</v>
      </c>
      <c r="B535" s="2">
        <v>432.0</v>
      </c>
      <c r="C535" s="1" t="s">
        <v>491</v>
      </c>
      <c r="D535" s="1" t="s">
        <v>1301</v>
      </c>
      <c r="E535" s="3">
        <v>44817.0</v>
      </c>
      <c r="F535" s="1" t="s">
        <v>3</v>
      </c>
      <c r="G535" s="4">
        <v>2.65131221E8</v>
      </c>
      <c r="H535" s="1" t="s">
        <v>1302</v>
      </c>
      <c r="I535" s="2"/>
      <c r="J535" s="1" t="s">
        <v>1303</v>
      </c>
      <c r="K535" s="1">
        <v>10.0</v>
      </c>
      <c r="L535" s="1"/>
      <c r="M535" s="5">
        <v>95.16</v>
      </c>
    </row>
    <row r="536" ht="15.75" hidden="1" customHeight="1">
      <c r="A536" s="1" t="s">
        <v>1304</v>
      </c>
      <c r="B536" s="2">
        <v>298.0</v>
      </c>
      <c r="C536" s="1" t="s">
        <v>491</v>
      </c>
      <c r="D536" s="1" t="s">
        <v>492</v>
      </c>
      <c r="E536" s="3">
        <v>44628.0</v>
      </c>
      <c r="F536" s="1" t="s">
        <v>86</v>
      </c>
      <c r="G536" s="4">
        <v>2.66035221E8</v>
      </c>
      <c r="H536" s="1" t="s">
        <v>1305</v>
      </c>
      <c r="I536" s="2"/>
      <c r="J536" s="1" t="s">
        <v>1306</v>
      </c>
      <c r="K536" s="1">
        <v>10.0</v>
      </c>
      <c r="L536" s="1"/>
      <c r="M536" s="5">
        <v>95.16</v>
      </c>
    </row>
    <row r="537" ht="15.75" hidden="1" customHeight="1">
      <c r="A537" s="1" t="s">
        <v>725</v>
      </c>
      <c r="B537" s="2">
        <v>110.0</v>
      </c>
      <c r="C537" s="1" t="s">
        <v>491</v>
      </c>
      <c r="D537" s="1" t="s">
        <v>726</v>
      </c>
      <c r="E537" s="3">
        <v>44419.0</v>
      </c>
      <c r="F537" s="1" t="s">
        <v>86</v>
      </c>
      <c r="G537" s="4">
        <v>2.66073211E8</v>
      </c>
      <c r="H537" s="1" t="s">
        <v>1307</v>
      </c>
      <c r="I537" s="2"/>
      <c r="J537" s="1" t="s">
        <v>1303</v>
      </c>
      <c r="K537" s="1">
        <v>20.0</v>
      </c>
      <c r="L537" s="1"/>
      <c r="M537" s="5">
        <v>90.27</v>
      </c>
    </row>
    <row r="538" ht="15.75" hidden="1" customHeight="1">
      <c r="A538" s="1" t="s">
        <v>1308</v>
      </c>
      <c r="B538" s="2">
        <v>345.0</v>
      </c>
      <c r="C538" s="1" t="s">
        <v>748</v>
      </c>
      <c r="D538" s="1" t="s">
        <v>1309</v>
      </c>
      <c r="E538" s="3">
        <v>44701.0</v>
      </c>
      <c r="F538" s="1" t="s">
        <v>3</v>
      </c>
      <c r="G538" s="4">
        <v>2.68077221E8</v>
      </c>
      <c r="H538" s="1" t="s">
        <v>1310</v>
      </c>
      <c r="I538" s="2"/>
      <c r="J538" s="1" t="s">
        <v>1311</v>
      </c>
      <c r="K538" s="1">
        <v>22.0</v>
      </c>
      <c r="L538" s="1"/>
      <c r="M538" s="5">
        <v>156.77</v>
      </c>
    </row>
    <row r="539" ht="15.75" hidden="1" customHeight="1">
      <c r="A539" s="1" t="s">
        <v>1312</v>
      </c>
      <c r="B539" s="2">
        <v>171.0</v>
      </c>
      <c r="C539" s="1" t="s">
        <v>748</v>
      </c>
      <c r="D539" s="1" t="s">
        <v>1313</v>
      </c>
      <c r="E539" s="3">
        <v>44467.0</v>
      </c>
      <c r="F539" s="1" t="s">
        <v>3</v>
      </c>
      <c r="G539" s="4">
        <v>2.68108211E8</v>
      </c>
      <c r="H539" s="1" t="s">
        <v>1314</v>
      </c>
      <c r="I539" s="2"/>
      <c r="J539" s="1" t="s">
        <v>1311</v>
      </c>
      <c r="K539" s="1">
        <v>21.0</v>
      </c>
      <c r="L539" s="1"/>
      <c r="M539" s="5">
        <v>156.77</v>
      </c>
    </row>
    <row r="540" ht="15.75" hidden="1" customHeight="1">
      <c r="A540" s="1" t="s">
        <v>1315</v>
      </c>
      <c r="B540" s="2">
        <v>465.0</v>
      </c>
      <c r="C540" s="1" t="s">
        <v>27</v>
      </c>
      <c r="D540" s="1" t="s">
        <v>1316</v>
      </c>
      <c r="E540" s="3">
        <v>44862.0</v>
      </c>
      <c r="F540" s="1" t="s">
        <v>3</v>
      </c>
      <c r="G540" s="4">
        <v>2.68148221E8</v>
      </c>
      <c r="H540" s="1" t="s">
        <v>1317</v>
      </c>
      <c r="I540" s="2"/>
      <c r="J540" s="1" t="s">
        <v>440</v>
      </c>
      <c r="K540" s="1">
        <v>10.0</v>
      </c>
      <c r="L540" s="1"/>
      <c r="M540" s="5">
        <v>195.0</v>
      </c>
    </row>
    <row r="541" ht="15.75" hidden="1" customHeight="1">
      <c r="A541" s="1" t="s">
        <v>26</v>
      </c>
      <c r="B541" s="2">
        <v>283.0</v>
      </c>
      <c r="C541" s="1" t="s">
        <v>27</v>
      </c>
      <c r="D541" s="1" t="s">
        <v>28</v>
      </c>
      <c r="E541" s="3">
        <v>44606.0</v>
      </c>
      <c r="F541" s="1" t="s">
        <v>3</v>
      </c>
      <c r="G541" s="4">
        <v>2.75017221E8</v>
      </c>
      <c r="H541" s="1" t="s">
        <v>1318</v>
      </c>
      <c r="I541" s="2"/>
      <c r="J541" s="1" t="s">
        <v>896</v>
      </c>
      <c r="K541" s="1">
        <v>3.0</v>
      </c>
      <c r="L541" s="1"/>
      <c r="M541" s="5">
        <v>230.48</v>
      </c>
    </row>
    <row r="542" ht="15.75" hidden="1" customHeight="1">
      <c r="A542" s="1" t="s">
        <v>1319</v>
      </c>
      <c r="B542" s="2">
        <v>525.0</v>
      </c>
      <c r="C542" s="1" t="s">
        <v>27</v>
      </c>
      <c r="D542" s="1" t="s">
        <v>1320</v>
      </c>
      <c r="E542" s="3">
        <v>44985.0</v>
      </c>
      <c r="F542" s="1" t="s">
        <v>3</v>
      </c>
      <c r="G542" s="4">
        <v>2.75023231E8</v>
      </c>
      <c r="H542" s="1" t="s">
        <v>1321</v>
      </c>
      <c r="I542" s="2"/>
      <c r="J542" s="1" t="s">
        <v>896</v>
      </c>
      <c r="K542" s="1">
        <v>3.0</v>
      </c>
      <c r="L542" s="1"/>
      <c r="M542" s="5">
        <v>257.07</v>
      </c>
    </row>
    <row r="543" ht="15.75" hidden="1" customHeight="1">
      <c r="A543" s="1" t="s">
        <v>1322</v>
      </c>
      <c r="B543" s="2">
        <v>299.0</v>
      </c>
      <c r="C543" s="1" t="s">
        <v>27</v>
      </c>
      <c r="D543" s="1" t="s">
        <v>1011</v>
      </c>
      <c r="E543" s="3">
        <v>44628.0</v>
      </c>
      <c r="F543" s="1" t="s">
        <v>3</v>
      </c>
      <c r="G543" s="4">
        <v>2.75036221E8</v>
      </c>
      <c r="H543" s="1" t="s">
        <v>1323</v>
      </c>
      <c r="I543" s="2"/>
      <c r="J543" s="1" t="s">
        <v>896</v>
      </c>
      <c r="K543" s="1">
        <v>3.0</v>
      </c>
      <c r="L543" s="1"/>
      <c r="M543" s="5">
        <v>242.22</v>
      </c>
    </row>
    <row r="544" ht="15.75" hidden="1" customHeight="1">
      <c r="A544" s="1" t="s">
        <v>1324</v>
      </c>
      <c r="B544" s="2">
        <v>57.0</v>
      </c>
      <c r="C544" s="1" t="s">
        <v>27</v>
      </c>
      <c r="D544" s="1" t="s">
        <v>1325</v>
      </c>
      <c r="E544" s="3">
        <v>44418.0</v>
      </c>
      <c r="F544" s="1" t="s">
        <v>3</v>
      </c>
      <c r="G544" s="4">
        <v>2.75158201E8</v>
      </c>
      <c r="I544" s="2"/>
      <c r="J544" s="1" t="s">
        <v>531</v>
      </c>
      <c r="K544" s="1">
        <v>4.0</v>
      </c>
      <c r="L544" s="1"/>
      <c r="M544" s="5">
        <v>245.52</v>
      </c>
    </row>
    <row r="545" ht="15.75" hidden="1" customHeight="1">
      <c r="A545" s="1" t="s">
        <v>1326</v>
      </c>
      <c r="B545" s="2">
        <v>341.0</v>
      </c>
      <c r="C545" s="1" t="s">
        <v>27</v>
      </c>
      <c r="D545" s="1" t="s">
        <v>1327</v>
      </c>
      <c r="E545" s="3">
        <v>44690.0</v>
      </c>
      <c r="F545" s="1" t="s">
        <v>3</v>
      </c>
      <c r="G545" s="4">
        <v>2.84033221E8</v>
      </c>
      <c r="H545" s="1" t="s">
        <v>1328</v>
      </c>
      <c r="I545" s="2"/>
      <c r="J545" s="1" t="s">
        <v>1329</v>
      </c>
      <c r="K545" s="1">
        <v>3070.0</v>
      </c>
      <c r="L545" s="1"/>
      <c r="M545" s="5">
        <v>2.46</v>
      </c>
    </row>
    <row r="546" ht="15.75" hidden="1" customHeight="1">
      <c r="A546" s="1" t="s">
        <v>1330</v>
      </c>
      <c r="B546" s="2">
        <v>635.0</v>
      </c>
      <c r="C546" s="1" t="s">
        <v>27</v>
      </c>
      <c r="D546" s="1" t="s">
        <v>1331</v>
      </c>
      <c r="E546" s="1" t="s">
        <v>60</v>
      </c>
      <c r="F546" s="1" t="s">
        <v>3</v>
      </c>
      <c r="G546" s="4">
        <v>2.84033221E8</v>
      </c>
      <c r="H546" s="1" t="s">
        <v>1328</v>
      </c>
      <c r="I546" s="2"/>
      <c r="J546" s="1" t="s">
        <v>1329</v>
      </c>
      <c r="K546" s="1">
        <v>3070.0</v>
      </c>
      <c r="L546" s="1"/>
      <c r="M546" s="5">
        <v>2.46</v>
      </c>
    </row>
    <row r="547" ht="15.75" hidden="1" customHeight="1">
      <c r="A547" s="1" t="s">
        <v>1332</v>
      </c>
      <c r="B547" s="2">
        <v>180.0</v>
      </c>
      <c r="C547" s="1" t="s">
        <v>27</v>
      </c>
      <c r="D547" s="1" t="s">
        <v>1333</v>
      </c>
      <c r="E547" s="3">
        <v>44467.0</v>
      </c>
      <c r="F547" s="1" t="s">
        <v>3</v>
      </c>
      <c r="G547" s="4">
        <v>2.84106211E8</v>
      </c>
      <c r="H547" s="1" t="s">
        <v>1334</v>
      </c>
      <c r="I547" s="2"/>
      <c r="J547" s="1" t="s">
        <v>1329</v>
      </c>
      <c r="K547" s="1">
        <v>3000.0</v>
      </c>
      <c r="L547" s="1"/>
      <c r="M547" s="5">
        <v>1.8</v>
      </c>
    </row>
    <row r="548" ht="15.75" hidden="1" customHeight="1">
      <c r="A548" s="1" t="s">
        <v>1335</v>
      </c>
      <c r="B548" s="2">
        <v>219.0</v>
      </c>
      <c r="C548" s="1" t="s">
        <v>426</v>
      </c>
      <c r="D548" s="1" t="s">
        <v>1336</v>
      </c>
      <c r="E548" s="3">
        <v>44522.0</v>
      </c>
      <c r="F548" s="1" t="s">
        <v>3</v>
      </c>
      <c r="G548" s="4">
        <v>2.86088211E8</v>
      </c>
      <c r="H548" s="1" t="s">
        <v>1337</v>
      </c>
      <c r="I548" s="2"/>
      <c r="J548" s="1" t="s">
        <v>124</v>
      </c>
      <c r="K548" s="1">
        <v>720.0</v>
      </c>
      <c r="L548" s="1"/>
      <c r="M548" s="5">
        <v>37.0</v>
      </c>
    </row>
    <row r="549" ht="15.75" hidden="1" customHeight="1">
      <c r="A549" s="1" t="s">
        <v>1338</v>
      </c>
      <c r="B549" s="2">
        <v>26.0</v>
      </c>
      <c r="C549" s="1" t="s">
        <v>1125</v>
      </c>
      <c r="D549" s="1" t="s">
        <v>1339</v>
      </c>
      <c r="E549" s="3">
        <v>44417.0</v>
      </c>
      <c r="F549" s="1" t="s">
        <v>3</v>
      </c>
      <c r="G549" s="4">
        <v>2.91004211E8</v>
      </c>
      <c r="I549" s="2"/>
      <c r="J549" s="1" t="s">
        <v>1340</v>
      </c>
      <c r="K549" s="1">
        <v>18964.0</v>
      </c>
      <c r="L549" s="1"/>
      <c r="M549" s="5">
        <v>0.95</v>
      </c>
    </row>
    <row r="550" ht="15.75" hidden="1" customHeight="1">
      <c r="A550" s="1" t="s">
        <v>1341</v>
      </c>
      <c r="B550" s="2">
        <v>286.0</v>
      </c>
      <c r="C550" s="1" t="s">
        <v>422</v>
      </c>
      <c r="D550" s="1" t="s">
        <v>1342</v>
      </c>
      <c r="E550" s="3">
        <v>44615.0</v>
      </c>
      <c r="F550" s="1" t="s">
        <v>3</v>
      </c>
      <c r="G550" s="4">
        <v>2.91014221E8</v>
      </c>
      <c r="H550" s="1" t="s">
        <v>1343</v>
      </c>
      <c r="I550" s="2"/>
      <c r="J550" s="1" t="s">
        <v>1340</v>
      </c>
      <c r="K550" s="1">
        <v>18990.5</v>
      </c>
      <c r="L550" s="1"/>
      <c r="M550" s="5">
        <v>0.95</v>
      </c>
    </row>
    <row r="551" ht="15.75" hidden="1" customHeight="1">
      <c r="A551" s="1" t="s">
        <v>1344</v>
      </c>
      <c r="B551" s="2">
        <v>97.0</v>
      </c>
      <c r="C551" s="1" t="s">
        <v>422</v>
      </c>
      <c r="D551" s="1" t="s">
        <v>1345</v>
      </c>
      <c r="E551" s="3">
        <v>44418.0</v>
      </c>
      <c r="F551" s="1" t="s">
        <v>3</v>
      </c>
      <c r="G551" s="4">
        <v>2.91060211E8</v>
      </c>
      <c r="I551" s="2"/>
      <c r="J551" s="1" t="s">
        <v>1340</v>
      </c>
      <c r="K551" s="1">
        <v>18914.0</v>
      </c>
      <c r="L551" s="1"/>
      <c r="M551" s="5">
        <v>0.95</v>
      </c>
    </row>
    <row r="552" ht="15.75" hidden="1" customHeight="1">
      <c r="A552" s="1" t="s">
        <v>1346</v>
      </c>
      <c r="B552" s="2">
        <v>161.0</v>
      </c>
      <c r="C552" s="1" t="s">
        <v>422</v>
      </c>
      <c r="D552" s="1" t="s">
        <v>1347</v>
      </c>
      <c r="E552" s="3">
        <v>44461.0</v>
      </c>
      <c r="F552" s="1" t="s">
        <v>3</v>
      </c>
      <c r="G552" s="4">
        <v>2.91099211E8</v>
      </c>
      <c r="H552" s="1" t="s">
        <v>1348</v>
      </c>
      <c r="I552" s="2"/>
      <c r="J552" s="1" t="s">
        <v>1340</v>
      </c>
      <c r="K552" s="1">
        <v>19004.0</v>
      </c>
      <c r="L552" s="1"/>
      <c r="M552" s="5">
        <v>0.95</v>
      </c>
    </row>
    <row r="553" ht="15.75" hidden="1" customHeight="1">
      <c r="A553" s="1" t="s">
        <v>1349</v>
      </c>
      <c r="B553" s="2">
        <v>244.0</v>
      </c>
      <c r="C553" s="1" t="s">
        <v>422</v>
      </c>
      <c r="D553" s="1" t="s">
        <v>1350</v>
      </c>
      <c r="E553" s="3">
        <v>44546.0</v>
      </c>
      <c r="F553" s="1" t="s">
        <v>3</v>
      </c>
      <c r="G553" s="4">
        <v>2.91152211E8</v>
      </c>
      <c r="H553" s="1" t="s">
        <v>1351</v>
      </c>
      <c r="I553" s="2"/>
      <c r="J553" s="1" t="s">
        <v>1340</v>
      </c>
      <c r="K553" s="1">
        <v>18884.5</v>
      </c>
      <c r="L553" s="1"/>
      <c r="M553" s="5">
        <v>0.95</v>
      </c>
    </row>
    <row r="554" ht="15.75" hidden="1" customHeight="1">
      <c r="A554" s="1" t="s">
        <v>1352</v>
      </c>
      <c r="B554" s="2">
        <v>493.0</v>
      </c>
      <c r="C554" s="1" t="s">
        <v>422</v>
      </c>
      <c r="D554" s="1" t="s">
        <v>1353</v>
      </c>
      <c r="E554" s="3">
        <v>44922.0</v>
      </c>
      <c r="F554" s="1" t="s">
        <v>3</v>
      </c>
      <c r="G554" s="4">
        <v>2.91160221E8</v>
      </c>
      <c r="H554" s="1" t="s">
        <v>1354</v>
      </c>
      <c r="I554" s="2"/>
      <c r="J554" s="1" t="s">
        <v>1355</v>
      </c>
      <c r="K554" s="1">
        <v>18844.65</v>
      </c>
      <c r="L554" s="1"/>
      <c r="M554" s="5">
        <v>0.95</v>
      </c>
    </row>
    <row r="555" ht="15.75" hidden="1" customHeight="1">
      <c r="A555" s="1" t="s">
        <v>1356</v>
      </c>
      <c r="B555" s="2">
        <v>11.0</v>
      </c>
      <c r="C555" s="1" t="s">
        <v>1125</v>
      </c>
      <c r="D555" s="1" t="s">
        <v>1357</v>
      </c>
      <c r="E555" s="3">
        <v>44417.0</v>
      </c>
      <c r="F555" s="1" t="s">
        <v>3</v>
      </c>
      <c r="G555" s="4">
        <v>2.91163201E8</v>
      </c>
      <c r="H555" s="1" t="s">
        <v>1358</v>
      </c>
      <c r="I555" s="2"/>
      <c r="J555" s="1" t="s">
        <v>1340</v>
      </c>
      <c r="K555" s="1">
        <v>17903.0</v>
      </c>
      <c r="L555" s="1"/>
      <c r="M555" s="5">
        <v>0.95</v>
      </c>
    </row>
    <row r="556" ht="15.75" hidden="1" customHeight="1">
      <c r="A556" s="1" t="s">
        <v>1359</v>
      </c>
      <c r="B556" s="2">
        <v>116.0</v>
      </c>
      <c r="C556" s="1" t="s">
        <v>675</v>
      </c>
      <c r="D556" s="1" t="s">
        <v>1360</v>
      </c>
      <c r="E556" s="3">
        <v>44424.0</v>
      </c>
      <c r="F556" s="1" t="s">
        <v>3</v>
      </c>
      <c r="G556" s="4">
        <v>2.95081211E8</v>
      </c>
      <c r="H556" s="1" t="s">
        <v>1361</v>
      </c>
      <c r="I556" s="2"/>
      <c r="J556" s="1" t="s">
        <v>1362</v>
      </c>
      <c r="K556" s="1">
        <v>25.0</v>
      </c>
      <c r="L556" s="1"/>
      <c r="M556" s="5">
        <v>134.45</v>
      </c>
    </row>
    <row r="557" ht="15.75" hidden="1" customHeight="1">
      <c r="A557" s="1" t="s">
        <v>1363</v>
      </c>
      <c r="B557" s="2">
        <v>250.0</v>
      </c>
      <c r="C557" s="1" t="s">
        <v>675</v>
      </c>
      <c r="D557" s="1" t="s">
        <v>1364</v>
      </c>
      <c r="E557" s="3">
        <v>44557.0</v>
      </c>
      <c r="F557" s="1" t="s">
        <v>3</v>
      </c>
      <c r="G557" s="4">
        <v>2.95177211E8</v>
      </c>
      <c r="H557" s="1" t="s">
        <v>1365</v>
      </c>
      <c r="I557" s="2"/>
      <c r="J557" s="1" t="s">
        <v>1362</v>
      </c>
      <c r="K557" s="1">
        <v>25.0</v>
      </c>
      <c r="L557" s="1"/>
      <c r="M557" s="5">
        <v>134.45</v>
      </c>
    </row>
    <row r="558" ht="15.75" hidden="1" customHeight="1">
      <c r="A558" s="1" t="s">
        <v>1366</v>
      </c>
      <c r="B558" s="2">
        <v>505.0</v>
      </c>
      <c r="C558" s="1" t="s">
        <v>1058</v>
      </c>
      <c r="D558" s="1" t="s">
        <v>1367</v>
      </c>
      <c r="E558" s="3">
        <v>44945.0</v>
      </c>
      <c r="F558" s="1" t="s">
        <v>3</v>
      </c>
      <c r="G558" s="4">
        <v>3.01011231E8</v>
      </c>
      <c r="H558" s="1" t="s">
        <v>1368</v>
      </c>
      <c r="I558" s="2"/>
      <c r="J558" s="1" t="s">
        <v>9</v>
      </c>
      <c r="K558" s="1">
        <v>75.0</v>
      </c>
      <c r="L558" s="1"/>
      <c r="M558" s="5">
        <v>151.36</v>
      </c>
    </row>
    <row r="559" ht="15.75" hidden="1" customHeight="1">
      <c r="A559" s="1" t="s">
        <v>1369</v>
      </c>
      <c r="B559" s="2">
        <v>506.0</v>
      </c>
      <c r="C559" s="1" t="s">
        <v>27</v>
      </c>
      <c r="D559" s="1" t="s">
        <v>1370</v>
      </c>
      <c r="E559" s="3">
        <v>44949.0</v>
      </c>
      <c r="F559" s="1" t="s">
        <v>3</v>
      </c>
      <c r="G559" s="4">
        <v>3.01011231E8</v>
      </c>
      <c r="H559" s="1" t="s">
        <v>1368</v>
      </c>
      <c r="I559" s="2"/>
      <c r="J559" s="1" t="s">
        <v>9</v>
      </c>
      <c r="K559" s="1">
        <v>6.0</v>
      </c>
      <c r="L559" s="1"/>
      <c r="M559" s="5">
        <v>112.9</v>
      </c>
    </row>
    <row r="560" ht="15.75" hidden="1" customHeight="1">
      <c r="A560" s="1" t="s">
        <v>1371</v>
      </c>
      <c r="B560" s="2">
        <v>511.0</v>
      </c>
      <c r="C560" s="1" t="s">
        <v>132</v>
      </c>
      <c r="D560" s="1" t="s">
        <v>1372</v>
      </c>
      <c r="E560" s="3">
        <v>44959.0</v>
      </c>
      <c r="F560" s="1" t="s">
        <v>3</v>
      </c>
      <c r="G560" s="4">
        <v>3.01011231E8</v>
      </c>
      <c r="H560" s="1" t="s">
        <v>1368</v>
      </c>
      <c r="I560" s="2"/>
      <c r="J560" s="1" t="s">
        <v>9</v>
      </c>
      <c r="K560" s="1">
        <v>3.0</v>
      </c>
      <c r="L560" s="1"/>
      <c r="M560" s="5">
        <v>134.2</v>
      </c>
    </row>
    <row r="561" ht="15.75" hidden="1" customHeight="1">
      <c r="A561" s="1" t="s">
        <v>1373</v>
      </c>
      <c r="B561" s="2">
        <v>512.0</v>
      </c>
      <c r="C561" s="1" t="s">
        <v>47</v>
      </c>
      <c r="D561" s="1" t="s">
        <v>1374</v>
      </c>
      <c r="E561" s="3">
        <v>44959.0</v>
      </c>
      <c r="F561" s="1" t="s">
        <v>3</v>
      </c>
      <c r="G561" s="4">
        <v>3.01011231E8</v>
      </c>
      <c r="H561" s="1" t="s">
        <v>1368</v>
      </c>
      <c r="I561" s="2"/>
      <c r="J561" s="1" t="s">
        <v>9</v>
      </c>
      <c r="K561" s="1">
        <v>10.0</v>
      </c>
      <c r="L561" s="1"/>
      <c r="M561" s="5">
        <v>133.0</v>
      </c>
    </row>
    <row r="562" ht="15.75" hidden="1" customHeight="1">
      <c r="A562" s="1" t="s">
        <v>1375</v>
      </c>
      <c r="B562" s="2">
        <v>517.0</v>
      </c>
      <c r="C562" s="1" t="s">
        <v>464</v>
      </c>
      <c r="D562" s="1" t="s">
        <v>1376</v>
      </c>
      <c r="E562" s="3">
        <v>44965.0</v>
      </c>
      <c r="F562" s="1" t="s">
        <v>3</v>
      </c>
      <c r="G562" s="4">
        <v>3.01011231E8</v>
      </c>
      <c r="H562" s="1" t="s">
        <v>1368</v>
      </c>
      <c r="I562" s="2"/>
      <c r="J562" s="1" t="s">
        <v>124</v>
      </c>
      <c r="K562" s="1">
        <v>20.0</v>
      </c>
      <c r="L562" s="1"/>
      <c r="M562" s="5">
        <v>144.07</v>
      </c>
    </row>
    <row r="563" ht="15.75" hidden="1" customHeight="1">
      <c r="A563" s="1" t="s">
        <v>1377</v>
      </c>
      <c r="B563" s="2">
        <v>521.0</v>
      </c>
      <c r="C563" s="1" t="s">
        <v>255</v>
      </c>
      <c r="D563" s="1" t="s">
        <v>1378</v>
      </c>
      <c r="E563" s="3">
        <v>44981.0</v>
      </c>
      <c r="F563" s="1" t="s">
        <v>3</v>
      </c>
      <c r="G563" s="4">
        <v>3.01011231E8</v>
      </c>
      <c r="H563" s="1" t="s">
        <v>1368</v>
      </c>
      <c r="I563" s="2"/>
      <c r="J563" s="1" t="s">
        <v>124</v>
      </c>
      <c r="K563" s="1">
        <v>100.0</v>
      </c>
      <c r="L563" s="1"/>
      <c r="M563" s="5">
        <v>151.88</v>
      </c>
    </row>
    <row r="564" ht="15.75" hidden="1" customHeight="1">
      <c r="A564" s="1" t="s">
        <v>1379</v>
      </c>
      <c r="B564" s="2">
        <v>522.0</v>
      </c>
      <c r="C564" s="1" t="s">
        <v>513</v>
      </c>
      <c r="D564" s="1" t="s">
        <v>1380</v>
      </c>
      <c r="E564" s="3">
        <v>44981.0</v>
      </c>
      <c r="F564" s="1" t="s">
        <v>3</v>
      </c>
      <c r="G564" s="4">
        <v>3.01011231E8</v>
      </c>
      <c r="H564" s="1" t="s">
        <v>1368</v>
      </c>
      <c r="I564" s="2"/>
      <c r="J564" s="1" t="s">
        <v>124</v>
      </c>
      <c r="K564" s="1">
        <v>20.0</v>
      </c>
      <c r="L564" s="1"/>
      <c r="M564" s="5">
        <v>158.42</v>
      </c>
    </row>
    <row r="565" ht="15.75" hidden="1" customHeight="1">
      <c r="A565" s="1" t="s">
        <v>1381</v>
      </c>
      <c r="B565" s="2">
        <v>523.0</v>
      </c>
      <c r="C565" s="1" t="s">
        <v>488</v>
      </c>
      <c r="D565" s="1" t="s">
        <v>714</v>
      </c>
      <c r="E565" s="3">
        <v>44985.0</v>
      </c>
      <c r="F565" s="1" t="s">
        <v>3</v>
      </c>
      <c r="G565" s="4">
        <v>3.01011231E8</v>
      </c>
      <c r="H565" s="1" t="s">
        <v>1368</v>
      </c>
      <c r="I565" s="2"/>
      <c r="J565" s="1" t="s">
        <v>9</v>
      </c>
      <c r="K565" s="1">
        <v>5.0</v>
      </c>
      <c r="L565" s="1"/>
      <c r="M565" s="5">
        <v>110.53</v>
      </c>
    </row>
    <row r="566" ht="15.75" hidden="1" customHeight="1">
      <c r="A566" s="1" t="s">
        <v>1319</v>
      </c>
      <c r="B566" s="2">
        <v>525.0</v>
      </c>
      <c r="C566" s="1" t="s">
        <v>27</v>
      </c>
      <c r="D566" s="1" t="s">
        <v>1320</v>
      </c>
      <c r="E566" s="3">
        <v>44985.0</v>
      </c>
      <c r="F566" s="1" t="s">
        <v>3</v>
      </c>
      <c r="G566" s="4">
        <v>3.01011231E8</v>
      </c>
      <c r="H566" s="1" t="s">
        <v>1368</v>
      </c>
      <c r="I566" s="2"/>
      <c r="J566" s="1" t="s">
        <v>9</v>
      </c>
      <c r="K566" s="1">
        <v>20.0</v>
      </c>
      <c r="L566" s="1"/>
      <c r="M566" s="5">
        <v>132.01</v>
      </c>
    </row>
    <row r="567" ht="15.75" hidden="1" customHeight="1">
      <c r="A567" s="1" t="s">
        <v>1382</v>
      </c>
      <c r="B567" s="2">
        <v>526.0</v>
      </c>
      <c r="C567" s="1" t="s">
        <v>488</v>
      </c>
      <c r="D567" s="1" t="s">
        <v>1383</v>
      </c>
      <c r="E567" s="3">
        <v>44985.0</v>
      </c>
      <c r="F567" s="1" t="s">
        <v>3</v>
      </c>
      <c r="G567" s="4">
        <v>3.01011231E8</v>
      </c>
      <c r="H567" s="1" t="s">
        <v>1368</v>
      </c>
      <c r="I567" s="2"/>
      <c r="J567" s="1" t="s">
        <v>9</v>
      </c>
      <c r="K567" s="1">
        <v>5.0</v>
      </c>
      <c r="L567" s="1"/>
      <c r="M567" s="5">
        <v>110.53</v>
      </c>
    </row>
    <row r="568" ht="15.75" hidden="1" customHeight="1">
      <c r="A568" s="1" t="s">
        <v>1384</v>
      </c>
      <c r="B568" s="2">
        <v>529.0</v>
      </c>
      <c r="C568" s="1" t="s">
        <v>461</v>
      </c>
      <c r="D568" s="1" t="s">
        <v>1385</v>
      </c>
      <c r="E568" s="3">
        <v>44994.0</v>
      </c>
      <c r="F568" s="1" t="s">
        <v>3</v>
      </c>
      <c r="G568" s="4">
        <v>3.01011231E8</v>
      </c>
      <c r="H568" s="1" t="s">
        <v>1368</v>
      </c>
      <c r="I568" s="2"/>
      <c r="J568" s="1" t="s">
        <v>124</v>
      </c>
      <c r="K568" s="1">
        <v>200.0</v>
      </c>
      <c r="L568" s="1"/>
      <c r="M568" s="5">
        <v>133.0</v>
      </c>
    </row>
    <row r="569" ht="15.75" hidden="1" customHeight="1">
      <c r="A569" s="1" t="s">
        <v>1386</v>
      </c>
      <c r="B569" s="2">
        <v>531.0</v>
      </c>
      <c r="C569" s="1" t="s">
        <v>981</v>
      </c>
      <c r="D569" s="1" t="s">
        <v>1387</v>
      </c>
      <c r="E569" s="3">
        <v>45002.0</v>
      </c>
      <c r="F569" s="1" t="s">
        <v>3</v>
      </c>
      <c r="G569" s="4">
        <v>3.01011231E8</v>
      </c>
      <c r="H569" s="1" t="s">
        <v>1368</v>
      </c>
      <c r="I569" s="2"/>
      <c r="J569" s="1" t="s">
        <v>124</v>
      </c>
      <c r="K569" s="1">
        <v>25.0</v>
      </c>
      <c r="L569" s="1"/>
      <c r="M569" s="5">
        <v>132.51</v>
      </c>
    </row>
    <row r="570" ht="15.75" hidden="1" customHeight="1">
      <c r="A570" s="1" t="s">
        <v>1388</v>
      </c>
      <c r="B570" s="2">
        <v>595.0</v>
      </c>
      <c r="C570" s="1" t="s">
        <v>449</v>
      </c>
      <c r="D570" s="1" t="s">
        <v>1389</v>
      </c>
      <c r="E570" s="3">
        <v>45111.0</v>
      </c>
      <c r="F570" s="1" t="s">
        <v>3</v>
      </c>
      <c r="G570" s="4">
        <v>3.01011231E8</v>
      </c>
      <c r="H570" s="1" t="s">
        <v>1368</v>
      </c>
      <c r="I570" s="2"/>
      <c r="J570" s="1" t="s">
        <v>1390</v>
      </c>
      <c r="K570" s="1">
        <v>125.0</v>
      </c>
      <c r="L570" s="1"/>
      <c r="M570" s="5">
        <v>105.0</v>
      </c>
    </row>
    <row r="571" ht="15.75" hidden="1" customHeight="1">
      <c r="A571" s="1" t="s">
        <v>1391</v>
      </c>
      <c r="B571" s="2">
        <v>604.0</v>
      </c>
      <c r="C571" s="1" t="s">
        <v>190</v>
      </c>
      <c r="D571" s="1" t="s">
        <v>1392</v>
      </c>
      <c r="E571" s="1" t="s">
        <v>60</v>
      </c>
      <c r="F571" s="1" t="s">
        <v>3</v>
      </c>
      <c r="G571" s="4">
        <v>3.01011231E8</v>
      </c>
      <c r="H571" s="1" t="s">
        <v>1368</v>
      </c>
      <c r="I571" s="2"/>
      <c r="J571" s="1" t="s">
        <v>1390</v>
      </c>
      <c r="K571" s="1">
        <v>3.0</v>
      </c>
      <c r="L571" s="1"/>
      <c r="M571" s="5">
        <v>134.2</v>
      </c>
    </row>
    <row r="572" ht="15.75" hidden="1" customHeight="1">
      <c r="A572" s="1" t="s">
        <v>1393</v>
      </c>
      <c r="B572" s="2">
        <v>606.0</v>
      </c>
      <c r="C572" s="1" t="s">
        <v>513</v>
      </c>
      <c r="D572" s="1" t="s">
        <v>1394</v>
      </c>
      <c r="E572" s="1" t="s">
        <v>60</v>
      </c>
      <c r="F572" s="1" t="s">
        <v>3</v>
      </c>
      <c r="G572" s="4">
        <v>3.01011231E8</v>
      </c>
      <c r="H572" s="1" t="s">
        <v>1368</v>
      </c>
      <c r="I572" s="2"/>
      <c r="J572" s="1" t="s">
        <v>1390</v>
      </c>
      <c r="K572" s="1">
        <v>20.0</v>
      </c>
      <c r="L572" s="1"/>
      <c r="M572" s="5">
        <v>158.42</v>
      </c>
    </row>
    <row r="573" ht="15.75" hidden="1" customHeight="1">
      <c r="A573" s="1" t="s">
        <v>1395</v>
      </c>
      <c r="B573" s="2">
        <v>607.0</v>
      </c>
      <c r="C573" s="1" t="s">
        <v>461</v>
      </c>
      <c r="D573" s="1" t="s">
        <v>1396</v>
      </c>
      <c r="E573" s="1" t="s">
        <v>60</v>
      </c>
      <c r="F573" s="1" t="s">
        <v>3</v>
      </c>
      <c r="G573" s="4">
        <v>3.01011231E8</v>
      </c>
      <c r="H573" s="1" t="s">
        <v>1368</v>
      </c>
      <c r="I573" s="2"/>
      <c r="J573" s="1" t="s">
        <v>1390</v>
      </c>
      <c r="K573" s="1">
        <v>200.0</v>
      </c>
      <c r="L573" s="1"/>
      <c r="M573" s="5">
        <v>133.0</v>
      </c>
    </row>
    <row r="574" ht="15.75" hidden="1" customHeight="1">
      <c r="A574" s="1" t="s">
        <v>1397</v>
      </c>
      <c r="B574" s="2">
        <v>697.0</v>
      </c>
      <c r="C574" s="1" t="s">
        <v>449</v>
      </c>
      <c r="D574" s="1" t="s">
        <v>1398</v>
      </c>
      <c r="E574" s="3">
        <v>45209.0</v>
      </c>
      <c r="F574" s="1" t="s">
        <v>3</v>
      </c>
      <c r="G574" s="4">
        <v>3.01117231E8</v>
      </c>
      <c r="H574" s="1" t="s">
        <v>1399</v>
      </c>
      <c r="I574" s="2"/>
      <c r="J574" s="1" t="s">
        <v>1400</v>
      </c>
      <c r="K574" s="1">
        <v>125.0</v>
      </c>
      <c r="L574" s="1"/>
      <c r="M574" s="5">
        <v>105.0</v>
      </c>
    </row>
    <row r="575" ht="15.75" hidden="1" customHeight="1">
      <c r="A575" s="1" t="s">
        <v>1401</v>
      </c>
      <c r="B575" s="2">
        <v>698.0</v>
      </c>
      <c r="C575" s="1" t="s">
        <v>449</v>
      </c>
      <c r="D575" s="1" t="s">
        <v>1402</v>
      </c>
      <c r="E575" s="3">
        <v>45209.0</v>
      </c>
      <c r="F575" s="1" t="s">
        <v>3</v>
      </c>
      <c r="G575" s="4">
        <v>3.01117231E8</v>
      </c>
      <c r="H575" s="1" t="s">
        <v>1399</v>
      </c>
      <c r="I575" s="2"/>
      <c r="J575" s="1" t="s">
        <v>1400</v>
      </c>
      <c r="K575" s="1">
        <v>125.0</v>
      </c>
      <c r="L575" s="1"/>
      <c r="M575" s="5">
        <v>105.0</v>
      </c>
    </row>
    <row r="576" ht="15.75" hidden="1" customHeight="1">
      <c r="A576" s="1" t="s">
        <v>1403</v>
      </c>
      <c r="B576" s="2">
        <v>702.0</v>
      </c>
      <c r="C576" s="1" t="s">
        <v>47</v>
      </c>
      <c r="D576" s="1" t="s">
        <v>1404</v>
      </c>
      <c r="E576" s="3">
        <v>45215.0</v>
      </c>
      <c r="F576" s="1" t="s">
        <v>3</v>
      </c>
      <c r="G576" s="4">
        <v>3.01117231E8</v>
      </c>
      <c r="H576" s="1" t="s">
        <v>1399</v>
      </c>
      <c r="I576" s="2"/>
      <c r="J576" s="1" t="s">
        <v>1400</v>
      </c>
      <c r="K576" s="1">
        <v>10.0</v>
      </c>
      <c r="L576" s="1"/>
      <c r="M576" s="5">
        <v>133.0</v>
      </c>
    </row>
    <row r="577" ht="15.75" hidden="1" customHeight="1">
      <c r="A577" s="1" t="s">
        <v>1405</v>
      </c>
      <c r="B577" s="2">
        <v>703.0</v>
      </c>
      <c r="C577" s="1" t="s">
        <v>464</v>
      </c>
      <c r="D577" s="1" t="s">
        <v>1406</v>
      </c>
      <c r="E577" s="3">
        <v>45223.0</v>
      </c>
      <c r="F577" s="1" t="s">
        <v>3</v>
      </c>
      <c r="G577" s="4">
        <v>3.01117231E8</v>
      </c>
      <c r="H577" s="1" t="s">
        <v>1399</v>
      </c>
      <c r="I577" s="2"/>
      <c r="J577" s="1" t="s">
        <v>1400</v>
      </c>
      <c r="K577" s="1">
        <v>20.0</v>
      </c>
      <c r="L577" s="1"/>
      <c r="M577" s="5">
        <v>144.07</v>
      </c>
    </row>
    <row r="578" ht="15.75" hidden="1" customHeight="1">
      <c r="A578" s="1" t="s">
        <v>1407</v>
      </c>
      <c r="B578" s="2" t="s">
        <v>1408</v>
      </c>
      <c r="C578" s="1" t="s">
        <v>569</v>
      </c>
      <c r="D578" s="1" t="s">
        <v>1409</v>
      </c>
      <c r="E578" s="3">
        <v>45252.0</v>
      </c>
      <c r="F578" s="1" t="s">
        <v>3</v>
      </c>
      <c r="G578" s="4">
        <v>3.01117231E8</v>
      </c>
      <c r="H578" s="1" t="s">
        <v>1399</v>
      </c>
      <c r="I578" s="2"/>
      <c r="J578" s="1" t="s">
        <v>1400</v>
      </c>
      <c r="K578" s="1">
        <v>2.0</v>
      </c>
      <c r="L578" s="1"/>
      <c r="M578" s="5">
        <v>187.5</v>
      </c>
    </row>
    <row r="579" ht="15.75" hidden="1" customHeight="1">
      <c r="A579" s="1" t="s">
        <v>1410</v>
      </c>
      <c r="B579" s="2" t="s">
        <v>1411</v>
      </c>
      <c r="C579" s="1" t="s">
        <v>569</v>
      </c>
      <c r="D579" s="1" t="s">
        <v>1412</v>
      </c>
      <c r="E579" s="3">
        <v>45252.0</v>
      </c>
      <c r="F579" s="1" t="s">
        <v>3</v>
      </c>
      <c r="G579" s="4">
        <v>3.01117231E8</v>
      </c>
      <c r="H579" s="1" t="s">
        <v>1399</v>
      </c>
      <c r="I579" s="2"/>
      <c r="J579" s="1" t="s">
        <v>1400</v>
      </c>
      <c r="K579" s="1">
        <v>2.0</v>
      </c>
      <c r="L579" s="1"/>
      <c r="M579" s="5">
        <v>187.5</v>
      </c>
    </row>
    <row r="580" ht="15.75" hidden="1" customHeight="1">
      <c r="A580" s="1" t="s">
        <v>1413</v>
      </c>
      <c r="B580" s="2">
        <v>724.0</v>
      </c>
      <c r="C580" s="1" t="s">
        <v>43</v>
      </c>
      <c r="D580" s="1" t="s">
        <v>1414</v>
      </c>
      <c r="E580" s="3">
        <v>45252.0</v>
      </c>
      <c r="F580" s="1" t="s">
        <v>3</v>
      </c>
      <c r="G580" s="4">
        <v>3.01117231E8</v>
      </c>
      <c r="H580" s="1" t="s">
        <v>1399</v>
      </c>
      <c r="I580" s="2"/>
      <c r="J580" s="1" t="s">
        <v>1400</v>
      </c>
      <c r="K580" s="1">
        <v>1.0</v>
      </c>
      <c r="L580" s="1"/>
      <c r="M580" s="5">
        <v>175.04</v>
      </c>
    </row>
    <row r="581" ht="15.75" hidden="1" customHeight="1">
      <c r="A581" s="1" t="s">
        <v>1415</v>
      </c>
      <c r="B581" s="2">
        <v>725.0</v>
      </c>
      <c r="C581" s="1" t="s">
        <v>449</v>
      </c>
      <c r="D581" s="1" t="s">
        <v>1416</v>
      </c>
      <c r="E581" s="3">
        <v>45252.0</v>
      </c>
      <c r="F581" s="1" t="s">
        <v>3</v>
      </c>
      <c r="G581" s="4">
        <v>3.01117231E8</v>
      </c>
      <c r="H581" s="1" t="s">
        <v>1399</v>
      </c>
      <c r="I581" s="2"/>
      <c r="J581" s="1" t="s">
        <v>1400</v>
      </c>
      <c r="K581" s="1">
        <v>125.0</v>
      </c>
      <c r="L581" s="1"/>
      <c r="M581" s="5">
        <v>105.0</v>
      </c>
    </row>
    <row r="582" ht="15.75" hidden="1" customHeight="1">
      <c r="A582" s="1" t="s">
        <v>1417</v>
      </c>
      <c r="B582" s="2">
        <v>726.0</v>
      </c>
      <c r="C582" s="1" t="s">
        <v>829</v>
      </c>
      <c r="D582" s="1" t="s">
        <v>1418</v>
      </c>
      <c r="E582" s="3">
        <v>45279.0</v>
      </c>
      <c r="F582" s="1" t="s">
        <v>3</v>
      </c>
      <c r="G582" s="4">
        <v>3.01117231E8</v>
      </c>
      <c r="H582" s="1" t="s">
        <v>1399</v>
      </c>
      <c r="I582" s="2"/>
      <c r="J582" s="1" t="s">
        <v>1400</v>
      </c>
      <c r="K582" s="1">
        <v>10.0</v>
      </c>
      <c r="L582" s="1"/>
      <c r="M582" s="5">
        <v>169.85</v>
      </c>
    </row>
    <row r="583" ht="15.75" hidden="1" customHeight="1">
      <c r="A583" s="1" t="s">
        <v>1419</v>
      </c>
      <c r="B583" s="2">
        <v>733.0</v>
      </c>
      <c r="C583" s="1" t="s">
        <v>461</v>
      </c>
      <c r="D583" s="1" t="s">
        <v>1420</v>
      </c>
      <c r="E583" s="3">
        <v>45279.0</v>
      </c>
      <c r="F583" s="1" t="s">
        <v>3</v>
      </c>
      <c r="G583" s="4">
        <v>3.01117231E8</v>
      </c>
      <c r="H583" s="1" t="s">
        <v>1399</v>
      </c>
      <c r="I583" s="2"/>
      <c r="J583" s="1" t="s">
        <v>1400</v>
      </c>
      <c r="K583" s="1">
        <v>5.0</v>
      </c>
      <c r="L583" s="1"/>
      <c r="M583" s="5">
        <v>140.84</v>
      </c>
    </row>
    <row r="584" ht="15.75" hidden="1" customHeight="1">
      <c r="A584" s="1" t="s">
        <v>1421</v>
      </c>
      <c r="B584" s="2">
        <v>735.0</v>
      </c>
      <c r="C584" s="1" t="s">
        <v>362</v>
      </c>
      <c r="D584" s="1" t="s">
        <v>1422</v>
      </c>
      <c r="E584" s="3">
        <v>45279.0</v>
      </c>
      <c r="F584" s="1" t="s">
        <v>3</v>
      </c>
      <c r="G584" s="4">
        <v>3.01117231E8</v>
      </c>
      <c r="H584" s="1" t="s">
        <v>1399</v>
      </c>
      <c r="I584" s="2"/>
      <c r="J584" s="1" t="s">
        <v>1400</v>
      </c>
      <c r="K584" s="1">
        <v>10.0</v>
      </c>
      <c r="L584" s="1"/>
      <c r="M584" s="5">
        <v>125.66</v>
      </c>
    </row>
    <row r="585" ht="15.75" hidden="1" customHeight="1">
      <c r="A585" s="1" t="s">
        <v>1423</v>
      </c>
      <c r="B585" s="2">
        <v>738.0</v>
      </c>
      <c r="C585" s="1" t="s">
        <v>829</v>
      </c>
      <c r="D585" s="1" t="s">
        <v>1424</v>
      </c>
      <c r="E585" s="3">
        <v>45279.0</v>
      </c>
      <c r="F585" s="1" t="s">
        <v>3</v>
      </c>
      <c r="G585" s="4">
        <v>3.01117231E8</v>
      </c>
      <c r="H585" s="1" t="s">
        <v>1399</v>
      </c>
      <c r="I585" s="2"/>
      <c r="J585" s="1" t="s">
        <v>1400</v>
      </c>
      <c r="K585" s="1">
        <v>10.0</v>
      </c>
      <c r="L585" s="1"/>
      <c r="M585" s="5">
        <v>169.85</v>
      </c>
    </row>
    <row r="586" ht="15.75" hidden="1" customHeight="1">
      <c r="A586" s="1" t="s">
        <v>1425</v>
      </c>
      <c r="B586" s="2">
        <v>794.0</v>
      </c>
      <c r="C586" s="1" t="s">
        <v>482</v>
      </c>
      <c r="D586" s="1" t="s">
        <v>1426</v>
      </c>
      <c r="E586" s="3">
        <v>45351.0</v>
      </c>
      <c r="F586" s="1" t="s">
        <v>3</v>
      </c>
      <c r="G586" s="4">
        <v>3.01117231E8</v>
      </c>
      <c r="H586" s="1" t="s">
        <v>1399</v>
      </c>
      <c r="I586" s="2"/>
      <c r="J586" s="1" t="s">
        <v>1400</v>
      </c>
      <c r="K586" s="1">
        <v>5.0</v>
      </c>
      <c r="L586" s="1"/>
      <c r="M586" s="5">
        <v>174.58</v>
      </c>
    </row>
    <row r="587" ht="15.75" hidden="1" customHeight="1">
      <c r="A587" s="1" t="s">
        <v>1427</v>
      </c>
      <c r="B587" s="2">
        <v>795.0</v>
      </c>
      <c r="C587" s="1" t="s">
        <v>929</v>
      </c>
      <c r="D587" s="1" t="s">
        <v>1428</v>
      </c>
      <c r="E587" s="3">
        <v>45351.0</v>
      </c>
      <c r="F587" s="1" t="s">
        <v>3</v>
      </c>
      <c r="G587" s="4">
        <v>3.01117231E8</v>
      </c>
      <c r="H587" s="1" t="s">
        <v>1399</v>
      </c>
      <c r="I587" s="2"/>
      <c r="J587" s="1" t="s">
        <v>1400</v>
      </c>
      <c r="K587" s="1">
        <v>20.0</v>
      </c>
      <c r="L587" s="1"/>
      <c r="M587" s="5">
        <v>172.22</v>
      </c>
    </row>
    <row r="588" ht="15.75" hidden="1" customHeight="1">
      <c r="A588" s="1" t="s">
        <v>1319</v>
      </c>
      <c r="B588" s="2">
        <v>525.0</v>
      </c>
      <c r="C588" s="1" t="s">
        <v>27</v>
      </c>
      <c r="D588" s="1" t="s">
        <v>1320</v>
      </c>
      <c r="E588" s="3">
        <v>44985.0</v>
      </c>
      <c r="F588" s="1" t="s">
        <v>3</v>
      </c>
      <c r="G588" s="4">
        <v>3.02010231E8</v>
      </c>
      <c r="H588" s="1" t="s">
        <v>1429</v>
      </c>
      <c r="I588" s="2"/>
      <c r="J588" s="1" t="s">
        <v>440</v>
      </c>
      <c r="K588" s="1">
        <v>15.0</v>
      </c>
      <c r="L588" s="1"/>
      <c r="M588" s="5">
        <v>205.82</v>
      </c>
    </row>
    <row r="589" ht="15.75" hidden="1" customHeight="1">
      <c r="A589" s="1" t="s">
        <v>1430</v>
      </c>
      <c r="B589" s="2">
        <v>1032.0</v>
      </c>
      <c r="C589" s="1" t="s">
        <v>1264</v>
      </c>
      <c r="D589" s="1" t="s">
        <v>1431</v>
      </c>
      <c r="E589" s="3">
        <v>45736.0</v>
      </c>
      <c r="F589" s="1" t="s">
        <v>3</v>
      </c>
      <c r="G589" s="4">
        <v>3.03042251E8</v>
      </c>
      <c r="H589" s="1" t="s">
        <v>1432</v>
      </c>
      <c r="I589" s="2"/>
      <c r="J589" s="1" t="s">
        <v>1433</v>
      </c>
      <c r="K589" s="1">
        <v>40.0</v>
      </c>
      <c r="L589" s="1"/>
      <c r="M589" s="5">
        <v>132.7</v>
      </c>
    </row>
    <row r="590" ht="15.75" hidden="1" customHeight="1">
      <c r="A590" s="1" t="s">
        <v>1434</v>
      </c>
      <c r="B590" s="2">
        <v>567.0</v>
      </c>
      <c r="C590" s="1" t="s">
        <v>872</v>
      </c>
      <c r="D590" s="1" t="s">
        <v>1435</v>
      </c>
      <c r="E590" s="3">
        <v>45063.0</v>
      </c>
      <c r="F590" s="1" t="s">
        <v>3</v>
      </c>
      <c r="G590" s="4">
        <v>3.03044231E8</v>
      </c>
      <c r="H590" s="1" t="s">
        <v>1436</v>
      </c>
      <c r="I590" s="2"/>
      <c r="J590" s="1" t="s">
        <v>416</v>
      </c>
      <c r="K590" s="1">
        <v>100.0</v>
      </c>
      <c r="L590" s="1"/>
      <c r="M590" s="5">
        <v>151.88</v>
      </c>
    </row>
    <row r="591" ht="15.75" hidden="1" customHeight="1">
      <c r="A591" s="1" t="s">
        <v>1437</v>
      </c>
      <c r="B591" s="2">
        <v>579.0</v>
      </c>
      <c r="C591" s="1" t="s">
        <v>706</v>
      </c>
      <c r="D591" s="1" t="s">
        <v>1438</v>
      </c>
      <c r="E591" s="3">
        <v>45086.0</v>
      </c>
      <c r="F591" s="1" t="s">
        <v>3</v>
      </c>
      <c r="G591" s="4">
        <v>3.03066231E8</v>
      </c>
      <c r="H591" s="1" t="s">
        <v>1439</v>
      </c>
      <c r="I591" s="2"/>
      <c r="J591" s="1" t="s">
        <v>1433</v>
      </c>
      <c r="K591" s="1">
        <v>28.0</v>
      </c>
      <c r="L591" s="1"/>
      <c r="M591" s="5">
        <v>182.08</v>
      </c>
    </row>
    <row r="592" ht="15.75" hidden="1" customHeight="1">
      <c r="A592" s="1" t="s">
        <v>1440</v>
      </c>
      <c r="B592" s="2">
        <v>582.0</v>
      </c>
      <c r="C592" s="1" t="s">
        <v>219</v>
      </c>
      <c r="D592" s="1" t="s">
        <v>1441</v>
      </c>
      <c r="E592" s="3">
        <v>45093.0</v>
      </c>
      <c r="F592" s="1" t="s">
        <v>3</v>
      </c>
      <c r="G592" s="4">
        <v>3.03066231E8</v>
      </c>
      <c r="H592" s="1" t="s">
        <v>1439</v>
      </c>
      <c r="I592" s="2"/>
      <c r="J592" s="1" t="s">
        <v>1442</v>
      </c>
      <c r="K592" s="1">
        <v>25.0</v>
      </c>
      <c r="L592" s="1"/>
      <c r="M592" s="5">
        <v>113.49</v>
      </c>
    </row>
    <row r="593" ht="15.75" hidden="1" customHeight="1">
      <c r="A593" s="1" t="s">
        <v>1443</v>
      </c>
      <c r="B593" s="2">
        <v>583.0</v>
      </c>
      <c r="C593" s="1" t="s">
        <v>449</v>
      </c>
      <c r="D593" s="1" t="s">
        <v>1444</v>
      </c>
      <c r="E593" s="3">
        <v>45093.0</v>
      </c>
      <c r="F593" s="1" t="s">
        <v>3</v>
      </c>
      <c r="G593" s="4">
        <v>3.03066231E8</v>
      </c>
      <c r="H593" s="1" t="s">
        <v>1439</v>
      </c>
      <c r="I593" s="2"/>
      <c r="J593" s="1" t="s">
        <v>1433</v>
      </c>
      <c r="K593" s="1">
        <v>125.0</v>
      </c>
      <c r="L593" s="1"/>
      <c r="M593" s="5">
        <v>105.0</v>
      </c>
    </row>
    <row r="594" ht="15.75" hidden="1" customHeight="1">
      <c r="A594" s="1" t="s">
        <v>1445</v>
      </c>
      <c r="B594" s="2">
        <v>584.0</v>
      </c>
      <c r="C594" s="1" t="s">
        <v>872</v>
      </c>
      <c r="D594" s="1" t="s">
        <v>1446</v>
      </c>
      <c r="E594" s="3">
        <v>45093.0</v>
      </c>
      <c r="F594" s="1" t="s">
        <v>3</v>
      </c>
      <c r="G594" s="4">
        <v>3.03066231E8</v>
      </c>
      <c r="H594" s="1" t="s">
        <v>1439</v>
      </c>
      <c r="I594" s="2"/>
      <c r="J594" s="1" t="s">
        <v>1433</v>
      </c>
      <c r="K594" s="1">
        <v>225.0</v>
      </c>
      <c r="L594" s="1"/>
      <c r="M594" s="5">
        <v>151.88</v>
      </c>
    </row>
    <row r="595" ht="15.75" hidden="1" customHeight="1">
      <c r="A595" s="1" t="s">
        <v>1447</v>
      </c>
      <c r="B595" s="2">
        <v>590.0</v>
      </c>
      <c r="C595" s="1" t="s">
        <v>1448</v>
      </c>
      <c r="D595" s="1" t="s">
        <v>1449</v>
      </c>
      <c r="E595" s="3">
        <v>45103.0</v>
      </c>
      <c r="F595" s="1" t="s">
        <v>3</v>
      </c>
      <c r="G595" s="4">
        <v>3.03066231E8</v>
      </c>
      <c r="H595" s="1" t="s">
        <v>1439</v>
      </c>
      <c r="I595" s="2"/>
      <c r="J595" s="1" t="s">
        <v>1433</v>
      </c>
      <c r="K595" s="1">
        <v>5.0</v>
      </c>
      <c r="L595" s="1"/>
      <c r="M595" s="5">
        <v>122.83</v>
      </c>
    </row>
    <row r="596" ht="15.75" hidden="1" customHeight="1">
      <c r="A596" s="1" t="s">
        <v>1450</v>
      </c>
      <c r="B596" s="2">
        <v>598.0</v>
      </c>
      <c r="C596" s="1" t="s">
        <v>449</v>
      </c>
      <c r="D596" s="1" t="s">
        <v>1451</v>
      </c>
      <c r="E596" s="3">
        <v>45112.0</v>
      </c>
      <c r="F596" s="1" t="s">
        <v>3</v>
      </c>
      <c r="G596" s="4">
        <v>3.03066231E8</v>
      </c>
      <c r="H596" s="1" t="s">
        <v>1439</v>
      </c>
      <c r="I596" s="2"/>
      <c r="J596" s="1" t="s">
        <v>1433</v>
      </c>
      <c r="K596" s="1">
        <v>125.0</v>
      </c>
      <c r="L596" s="1"/>
      <c r="M596" s="5">
        <v>105.0</v>
      </c>
    </row>
    <row r="597" ht="15.75" hidden="1" customHeight="1">
      <c r="A597" s="1" t="s">
        <v>1452</v>
      </c>
      <c r="B597" s="2">
        <v>629.0</v>
      </c>
      <c r="C597" s="1" t="s">
        <v>27</v>
      </c>
      <c r="D597" s="1" t="s">
        <v>1453</v>
      </c>
      <c r="E597" s="3">
        <v>45119.0</v>
      </c>
      <c r="F597" s="1" t="s">
        <v>3</v>
      </c>
      <c r="G597" s="4">
        <v>3.03066231E8</v>
      </c>
      <c r="H597" s="1" t="s">
        <v>1439</v>
      </c>
      <c r="I597" s="2"/>
      <c r="J597" s="1" t="s">
        <v>1433</v>
      </c>
      <c r="K597" s="1">
        <v>50.0</v>
      </c>
      <c r="L597" s="1"/>
      <c r="M597" s="5">
        <v>121.48</v>
      </c>
    </row>
    <row r="598" ht="15.75" hidden="1" customHeight="1">
      <c r="A598" s="1" t="s">
        <v>1454</v>
      </c>
      <c r="B598" s="2">
        <v>655.0</v>
      </c>
      <c r="C598" s="1" t="s">
        <v>449</v>
      </c>
      <c r="D598" s="1" t="s">
        <v>1455</v>
      </c>
      <c r="E598" s="3">
        <v>45132.0</v>
      </c>
      <c r="F598" s="1" t="s">
        <v>3</v>
      </c>
      <c r="G598" s="4">
        <v>3.03066231E8</v>
      </c>
      <c r="H598" s="1" t="s">
        <v>1439</v>
      </c>
      <c r="I598" s="2"/>
      <c r="J598" s="1" t="s">
        <v>1433</v>
      </c>
      <c r="K598" s="1">
        <v>125.0</v>
      </c>
      <c r="L598" s="1"/>
      <c r="M598" s="5">
        <v>105.0</v>
      </c>
    </row>
    <row r="599" ht="15.75" hidden="1" customHeight="1">
      <c r="A599" s="1" t="s">
        <v>1456</v>
      </c>
      <c r="B599" s="2">
        <v>659.0</v>
      </c>
      <c r="C599" s="1" t="s">
        <v>362</v>
      </c>
      <c r="D599" s="1" t="s">
        <v>1457</v>
      </c>
      <c r="E599" s="3">
        <v>45141.0</v>
      </c>
      <c r="F599" s="1" t="s">
        <v>3</v>
      </c>
      <c r="G599" s="4">
        <v>3.03066231E8</v>
      </c>
      <c r="H599" s="1" t="s">
        <v>1439</v>
      </c>
      <c r="I599" s="2"/>
      <c r="J599" s="1" t="s">
        <v>1433</v>
      </c>
      <c r="K599" s="1">
        <v>10.0</v>
      </c>
      <c r="L599" s="1"/>
      <c r="M599" s="5">
        <v>125.66</v>
      </c>
    </row>
    <row r="600" ht="15.75" hidden="1" customHeight="1">
      <c r="A600" s="1" t="s">
        <v>1458</v>
      </c>
      <c r="B600" s="2">
        <v>668.0</v>
      </c>
      <c r="C600" s="1" t="s">
        <v>872</v>
      </c>
      <c r="D600" s="1" t="s">
        <v>1459</v>
      </c>
      <c r="E600" s="3">
        <v>45152.0</v>
      </c>
      <c r="F600" s="1" t="s">
        <v>3</v>
      </c>
      <c r="G600" s="4">
        <v>3.03066231E8</v>
      </c>
      <c r="H600" s="1" t="s">
        <v>1439</v>
      </c>
      <c r="I600" s="2"/>
      <c r="J600" s="1" t="s">
        <v>1433</v>
      </c>
      <c r="K600" s="1">
        <v>75.0</v>
      </c>
      <c r="L600" s="1"/>
      <c r="M600" s="5">
        <v>151.88</v>
      </c>
    </row>
    <row r="601" ht="15.75" hidden="1" customHeight="1">
      <c r="A601" s="1" t="s">
        <v>1460</v>
      </c>
      <c r="B601" s="2">
        <v>568.0</v>
      </c>
      <c r="C601" s="1" t="s">
        <v>680</v>
      </c>
      <c r="D601" s="1" t="s">
        <v>1461</v>
      </c>
      <c r="E601" s="3">
        <v>45063.0</v>
      </c>
      <c r="F601" s="1" t="s">
        <v>3</v>
      </c>
      <c r="G601" s="4">
        <v>3.03068231E8</v>
      </c>
      <c r="H601" s="1" t="s">
        <v>1462</v>
      </c>
      <c r="I601" s="2"/>
      <c r="J601" s="1" t="s">
        <v>1433</v>
      </c>
      <c r="K601" s="1">
        <v>75.0</v>
      </c>
      <c r="L601" s="1"/>
      <c r="M601" s="5">
        <v>147.09</v>
      </c>
    </row>
    <row r="602" ht="15.75" hidden="1" customHeight="1">
      <c r="A602" s="1" t="s">
        <v>1463</v>
      </c>
      <c r="B602" s="2">
        <v>574.0</v>
      </c>
      <c r="C602" s="1" t="s">
        <v>472</v>
      </c>
      <c r="D602" s="1" t="s">
        <v>1464</v>
      </c>
      <c r="E602" s="3">
        <v>45070.0</v>
      </c>
      <c r="F602" s="1" t="s">
        <v>3</v>
      </c>
      <c r="G602" s="4">
        <v>3.03068231E8</v>
      </c>
      <c r="H602" s="1" t="s">
        <v>1462</v>
      </c>
      <c r="I602" s="2"/>
      <c r="J602" s="1" t="s">
        <v>623</v>
      </c>
      <c r="K602" s="1">
        <v>150.0</v>
      </c>
      <c r="L602" s="1"/>
      <c r="M602" s="5">
        <v>113.12</v>
      </c>
    </row>
    <row r="603" ht="15.75" hidden="1" customHeight="1">
      <c r="A603" s="1" t="s">
        <v>1465</v>
      </c>
      <c r="B603" s="2">
        <v>580.0</v>
      </c>
      <c r="C603" s="1" t="s">
        <v>472</v>
      </c>
      <c r="D603" s="1" t="s">
        <v>1466</v>
      </c>
      <c r="E603" s="3">
        <v>45086.0</v>
      </c>
      <c r="F603" s="1" t="s">
        <v>3</v>
      </c>
      <c r="G603" s="4">
        <v>3.03068231E8</v>
      </c>
      <c r="H603" s="1" t="s">
        <v>1462</v>
      </c>
      <c r="I603" s="2"/>
      <c r="J603" s="1" t="s">
        <v>1433</v>
      </c>
      <c r="K603" s="1">
        <v>25.0</v>
      </c>
      <c r="L603" s="1"/>
      <c r="M603" s="5">
        <v>113.12</v>
      </c>
    </row>
    <row r="604" ht="15.75" hidden="1" customHeight="1">
      <c r="A604" s="1" t="s">
        <v>1467</v>
      </c>
      <c r="B604" s="2">
        <v>586.0</v>
      </c>
      <c r="C604" s="1" t="s">
        <v>47</v>
      </c>
      <c r="D604" s="1" t="s">
        <v>1468</v>
      </c>
      <c r="E604" s="3">
        <v>45098.0</v>
      </c>
      <c r="F604" s="1" t="s">
        <v>3</v>
      </c>
      <c r="G604" s="4">
        <v>3.03068231E8</v>
      </c>
      <c r="H604" s="1" t="s">
        <v>1462</v>
      </c>
      <c r="I604" s="2"/>
      <c r="J604" s="1" t="s">
        <v>623</v>
      </c>
      <c r="K604" s="1">
        <v>10.0</v>
      </c>
      <c r="L604" s="1"/>
      <c r="M604" s="5">
        <v>133.0</v>
      </c>
    </row>
    <row r="605" ht="15.75" hidden="1" customHeight="1">
      <c r="A605" s="1" t="s">
        <v>1469</v>
      </c>
      <c r="B605" s="2">
        <v>587.0</v>
      </c>
      <c r="C605" s="1" t="s">
        <v>464</v>
      </c>
      <c r="D605" s="1" t="s">
        <v>1470</v>
      </c>
      <c r="E605" s="3">
        <v>45098.0</v>
      </c>
      <c r="F605" s="1" t="s">
        <v>3</v>
      </c>
      <c r="G605" s="4">
        <v>3.03068231E8</v>
      </c>
      <c r="H605" s="1" t="s">
        <v>1462</v>
      </c>
      <c r="I605" s="2"/>
      <c r="J605" s="1" t="s">
        <v>416</v>
      </c>
      <c r="K605" s="1">
        <v>20.0</v>
      </c>
      <c r="L605" s="1"/>
      <c r="M605" s="5">
        <v>144.07</v>
      </c>
    </row>
    <row r="606" ht="15.75" hidden="1" customHeight="1">
      <c r="A606" s="1" t="s">
        <v>1471</v>
      </c>
      <c r="B606" s="2">
        <v>589.0</v>
      </c>
      <c r="C606" s="1" t="s">
        <v>865</v>
      </c>
      <c r="D606" s="1" t="s">
        <v>1472</v>
      </c>
      <c r="E606" s="3">
        <v>45103.0</v>
      </c>
      <c r="F606" s="1" t="s">
        <v>3</v>
      </c>
      <c r="G606" s="4">
        <v>3.03068231E8</v>
      </c>
      <c r="H606" s="1" t="s">
        <v>1462</v>
      </c>
      <c r="I606" s="2"/>
      <c r="J606" s="1" t="s">
        <v>1433</v>
      </c>
      <c r="K606" s="1">
        <v>20.0</v>
      </c>
      <c r="L606" s="1"/>
      <c r="M606" s="5">
        <v>149.07</v>
      </c>
    </row>
    <row r="607" ht="15.75" hidden="1" customHeight="1">
      <c r="A607" s="1" t="s">
        <v>1473</v>
      </c>
      <c r="B607" s="2">
        <v>592.0</v>
      </c>
      <c r="C607" s="1" t="s">
        <v>769</v>
      </c>
      <c r="D607" s="1" t="s">
        <v>1474</v>
      </c>
      <c r="E607" s="3">
        <v>45103.0</v>
      </c>
      <c r="F607" s="1" t="s">
        <v>3</v>
      </c>
      <c r="G607" s="4">
        <v>3.03068231E8</v>
      </c>
      <c r="H607" s="1" t="s">
        <v>1462</v>
      </c>
      <c r="I607" s="2"/>
      <c r="J607" s="1" t="s">
        <v>416</v>
      </c>
      <c r="K607" s="1">
        <v>15.0</v>
      </c>
      <c r="L607" s="1"/>
      <c r="M607" s="5">
        <v>184.75</v>
      </c>
    </row>
    <row r="608" ht="15.75" hidden="1" customHeight="1">
      <c r="A608" s="1" t="s">
        <v>1475</v>
      </c>
      <c r="B608" s="2">
        <v>593.0</v>
      </c>
      <c r="C608" s="1" t="s">
        <v>126</v>
      </c>
      <c r="D608" s="1" t="s">
        <v>1476</v>
      </c>
      <c r="E608" s="3">
        <v>45103.0</v>
      </c>
      <c r="F608" s="1" t="s">
        <v>3</v>
      </c>
      <c r="G608" s="4">
        <v>3.03068231E8</v>
      </c>
      <c r="H608" s="1" t="s">
        <v>1462</v>
      </c>
      <c r="I608" s="2"/>
      <c r="J608" s="1" t="s">
        <v>1433</v>
      </c>
      <c r="K608" s="1">
        <v>5.0</v>
      </c>
      <c r="L608" s="1"/>
      <c r="M608" s="5">
        <v>178.34</v>
      </c>
    </row>
    <row r="609" ht="15.75" hidden="1" customHeight="1">
      <c r="A609" s="1" t="s">
        <v>1477</v>
      </c>
      <c r="B609" s="2">
        <v>594.0</v>
      </c>
      <c r="C609" s="1" t="s">
        <v>513</v>
      </c>
      <c r="D609" s="1" t="s">
        <v>1478</v>
      </c>
      <c r="E609" s="3">
        <v>45110.0</v>
      </c>
      <c r="F609" s="1" t="s">
        <v>3</v>
      </c>
      <c r="G609" s="4">
        <v>3.03068231E8</v>
      </c>
      <c r="H609" s="1" t="s">
        <v>1462</v>
      </c>
      <c r="I609" s="2"/>
      <c r="K609" s="1">
        <v>20.0</v>
      </c>
      <c r="L609" s="1"/>
      <c r="M609" s="5">
        <v>158.42</v>
      </c>
    </row>
    <row r="610" ht="15.75" hidden="1" customHeight="1">
      <c r="A610" s="1" t="s">
        <v>1479</v>
      </c>
      <c r="B610" s="2">
        <v>667.0</v>
      </c>
      <c r="C610" s="1" t="s">
        <v>190</v>
      </c>
      <c r="D610" s="1" t="s">
        <v>1480</v>
      </c>
      <c r="E610" s="3">
        <v>45152.0</v>
      </c>
      <c r="F610" s="1" t="s">
        <v>3</v>
      </c>
      <c r="G610" s="4">
        <v>3.03080231E8</v>
      </c>
      <c r="H610" s="1" t="s">
        <v>1481</v>
      </c>
      <c r="I610" s="2"/>
      <c r="J610" s="1" t="s">
        <v>623</v>
      </c>
      <c r="K610" s="1">
        <v>5.0</v>
      </c>
      <c r="L610" s="1"/>
      <c r="M610" s="5">
        <v>134.2</v>
      </c>
    </row>
    <row r="611" ht="15.75" hidden="1" customHeight="1">
      <c r="A611" s="1" t="s">
        <v>1482</v>
      </c>
      <c r="B611" s="2">
        <v>677.0</v>
      </c>
      <c r="C611" s="1" t="s">
        <v>126</v>
      </c>
      <c r="D611" s="1" t="s">
        <v>1483</v>
      </c>
      <c r="E611" s="3">
        <v>45169.0</v>
      </c>
      <c r="F611" s="1" t="s">
        <v>3</v>
      </c>
      <c r="G611" s="4">
        <v>3.03080231E8</v>
      </c>
      <c r="H611" s="1" t="s">
        <v>1481</v>
      </c>
      <c r="I611" s="2"/>
      <c r="J611" s="1" t="s">
        <v>1484</v>
      </c>
      <c r="K611" s="1">
        <v>5.0</v>
      </c>
      <c r="L611" s="1"/>
      <c r="M611" s="5">
        <v>178.34</v>
      </c>
    </row>
    <row r="612" ht="15.75" hidden="1" customHeight="1">
      <c r="A612" s="1" t="s">
        <v>1482</v>
      </c>
      <c r="B612" s="2">
        <v>677.0</v>
      </c>
      <c r="C612" s="1" t="s">
        <v>126</v>
      </c>
      <c r="D612" s="1" t="s">
        <v>1483</v>
      </c>
      <c r="E612" s="3">
        <v>45169.0</v>
      </c>
      <c r="F612" s="1" t="s">
        <v>3</v>
      </c>
      <c r="G612" s="4">
        <v>3.03080231E8</v>
      </c>
      <c r="H612" s="1" t="s">
        <v>1481</v>
      </c>
      <c r="I612" s="2"/>
      <c r="J612" s="1" t="s">
        <v>1485</v>
      </c>
      <c r="K612" s="1">
        <v>3.0</v>
      </c>
      <c r="L612" s="1"/>
      <c r="M612" s="5">
        <v>196.37</v>
      </c>
    </row>
    <row r="613" ht="15.75" hidden="1" customHeight="1">
      <c r="A613" s="1" t="s">
        <v>1486</v>
      </c>
      <c r="B613" s="2">
        <v>695.0</v>
      </c>
      <c r="C613" s="1" t="s">
        <v>1264</v>
      </c>
      <c r="D613" s="1" t="s">
        <v>1487</v>
      </c>
      <c r="E613" s="3">
        <v>45195.0</v>
      </c>
      <c r="F613" s="1" t="s">
        <v>3</v>
      </c>
      <c r="G613" s="4">
        <v>3.03080231E8</v>
      </c>
      <c r="H613" s="1" t="s">
        <v>1481</v>
      </c>
      <c r="I613" s="2"/>
      <c r="J613" s="1" t="s">
        <v>1485</v>
      </c>
      <c r="K613" s="1">
        <v>500.0</v>
      </c>
      <c r="L613" s="1"/>
      <c r="M613" s="5">
        <v>125.19</v>
      </c>
    </row>
    <row r="614" ht="15.75" hidden="1" customHeight="1">
      <c r="A614" s="1" t="s">
        <v>1488</v>
      </c>
      <c r="B614" s="2">
        <v>662.0</v>
      </c>
      <c r="C614" s="1" t="s">
        <v>809</v>
      </c>
      <c r="D614" s="1" t="s">
        <v>1489</v>
      </c>
      <c r="E614" s="3">
        <v>45148.0</v>
      </c>
      <c r="F614" s="1" t="s">
        <v>3</v>
      </c>
      <c r="G614" s="4">
        <v>3.03091231E8</v>
      </c>
      <c r="H614" s="1" t="s">
        <v>1490</v>
      </c>
      <c r="I614" s="2"/>
      <c r="J614" s="1" t="s">
        <v>1433</v>
      </c>
      <c r="K614" s="1">
        <v>14.0</v>
      </c>
      <c r="L614" s="1"/>
      <c r="M614" s="5">
        <v>176.5</v>
      </c>
    </row>
    <row r="615" ht="15.75" hidden="1" customHeight="1">
      <c r="A615" s="1" t="s">
        <v>1491</v>
      </c>
      <c r="B615" s="2">
        <v>663.0</v>
      </c>
      <c r="C615" s="1" t="s">
        <v>518</v>
      </c>
      <c r="D615" s="1" t="s">
        <v>1492</v>
      </c>
      <c r="E615" s="3">
        <v>45148.0</v>
      </c>
      <c r="F615" s="1" t="s">
        <v>3</v>
      </c>
      <c r="G615" s="4">
        <v>3.03091231E8</v>
      </c>
      <c r="H615" s="1" t="s">
        <v>1490</v>
      </c>
      <c r="I615" s="2"/>
      <c r="J615" s="1" t="s">
        <v>1433</v>
      </c>
      <c r="K615" s="1">
        <v>10.0</v>
      </c>
      <c r="L615" s="1"/>
      <c r="M615" s="5">
        <v>140.63</v>
      </c>
    </row>
    <row r="616" ht="15.75" hidden="1" customHeight="1">
      <c r="A616" s="1" t="s">
        <v>1493</v>
      </c>
      <c r="B616" s="2">
        <v>671.0</v>
      </c>
      <c r="C616" s="1" t="s">
        <v>449</v>
      </c>
      <c r="D616" s="1" t="s">
        <v>1494</v>
      </c>
      <c r="E616" s="3">
        <v>45166.0</v>
      </c>
      <c r="F616" s="1" t="s">
        <v>3</v>
      </c>
      <c r="G616" s="4">
        <v>3.03091231E8</v>
      </c>
      <c r="H616" s="1" t="s">
        <v>1490</v>
      </c>
      <c r="I616" s="2"/>
      <c r="J616" s="1" t="s">
        <v>623</v>
      </c>
      <c r="K616" s="1">
        <v>150.0</v>
      </c>
      <c r="L616" s="1"/>
      <c r="M616" s="5">
        <v>105.0</v>
      </c>
    </row>
    <row r="617" ht="15.75" hidden="1" customHeight="1">
      <c r="A617" s="1" t="s">
        <v>1495</v>
      </c>
      <c r="B617" s="2">
        <v>673.0</v>
      </c>
      <c r="C617" s="1" t="s">
        <v>513</v>
      </c>
      <c r="D617" s="1" t="s">
        <v>1496</v>
      </c>
      <c r="E617" s="3">
        <v>45166.0</v>
      </c>
      <c r="F617" s="1" t="s">
        <v>3</v>
      </c>
      <c r="G617" s="4">
        <v>3.03091231E8</v>
      </c>
      <c r="H617" s="1" t="s">
        <v>1490</v>
      </c>
      <c r="I617" s="2"/>
      <c r="J617" s="1" t="s">
        <v>1433</v>
      </c>
      <c r="K617" s="1">
        <v>20.0</v>
      </c>
      <c r="L617" s="1"/>
      <c r="M617" s="5">
        <v>158.42</v>
      </c>
    </row>
    <row r="618" ht="15.75" hidden="1" customHeight="1">
      <c r="A618" s="1" t="s">
        <v>1497</v>
      </c>
      <c r="B618" s="2">
        <v>674.0</v>
      </c>
      <c r="C618" s="1" t="s">
        <v>829</v>
      </c>
      <c r="D618" s="1" t="s">
        <v>1498</v>
      </c>
      <c r="E618" s="3">
        <v>45166.0</v>
      </c>
      <c r="F618" s="1" t="s">
        <v>3</v>
      </c>
      <c r="G618" s="4">
        <v>3.03091231E8</v>
      </c>
      <c r="H618" s="1" t="s">
        <v>1490</v>
      </c>
      <c r="I618" s="2"/>
      <c r="J618" s="1" t="s">
        <v>1433</v>
      </c>
      <c r="K618" s="1">
        <v>10.0</v>
      </c>
      <c r="L618" s="1"/>
      <c r="M618" s="5">
        <v>169.85</v>
      </c>
    </row>
    <row r="619" ht="15.75" hidden="1" customHeight="1">
      <c r="A619" s="1" t="s">
        <v>1499</v>
      </c>
      <c r="B619" s="2">
        <v>675.0</v>
      </c>
      <c r="C619" s="1" t="s">
        <v>1500</v>
      </c>
      <c r="D619" s="1" t="s">
        <v>1501</v>
      </c>
      <c r="E619" s="3">
        <v>45166.0</v>
      </c>
      <c r="F619" s="1" t="s">
        <v>3</v>
      </c>
      <c r="G619" s="4">
        <v>3.03091231E8</v>
      </c>
      <c r="H619" s="1" t="s">
        <v>1490</v>
      </c>
      <c r="I619" s="2"/>
      <c r="J619" s="1" t="s">
        <v>1433</v>
      </c>
      <c r="K619" s="1">
        <v>6.0</v>
      </c>
      <c r="L619" s="1"/>
      <c r="M619" s="5">
        <v>122.83</v>
      </c>
    </row>
    <row r="620" ht="15.75" hidden="1" customHeight="1">
      <c r="A620" s="1" t="s">
        <v>1502</v>
      </c>
      <c r="B620" s="2">
        <v>676.0</v>
      </c>
      <c r="C620" s="1" t="s">
        <v>135</v>
      </c>
      <c r="D620" s="1" t="s">
        <v>1503</v>
      </c>
      <c r="E620" s="3">
        <v>45169.0</v>
      </c>
      <c r="F620" s="1" t="s">
        <v>3</v>
      </c>
      <c r="G620" s="4">
        <v>3.03091231E8</v>
      </c>
      <c r="H620" s="1" t="s">
        <v>1490</v>
      </c>
      <c r="I620" s="2"/>
      <c r="J620" s="1" t="s">
        <v>1433</v>
      </c>
      <c r="K620" s="1">
        <v>75.0</v>
      </c>
      <c r="L620" s="1"/>
      <c r="M620" s="5">
        <v>136.33</v>
      </c>
    </row>
    <row r="621" ht="15.75" hidden="1" customHeight="1">
      <c r="A621" s="1" t="s">
        <v>1504</v>
      </c>
      <c r="B621" s="2">
        <v>681.0</v>
      </c>
      <c r="C621" s="1" t="s">
        <v>449</v>
      </c>
      <c r="D621" s="1" t="s">
        <v>1505</v>
      </c>
      <c r="E621" s="3">
        <v>45175.0</v>
      </c>
      <c r="F621" s="1" t="s">
        <v>3</v>
      </c>
      <c r="G621" s="4">
        <v>3.03091231E8</v>
      </c>
      <c r="H621" s="1" t="s">
        <v>1490</v>
      </c>
      <c r="I621" s="2"/>
      <c r="J621" s="1" t="s">
        <v>1433</v>
      </c>
      <c r="K621" s="1">
        <v>125.0</v>
      </c>
      <c r="L621" s="1"/>
      <c r="M621" s="5">
        <v>105.0</v>
      </c>
    </row>
    <row r="622" ht="15.75" hidden="1" customHeight="1">
      <c r="A622" s="1" t="s">
        <v>1506</v>
      </c>
      <c r="B622" s="2">
        <v>683.0</v>
      </c>
      <c r="C622" s="1" t="s">
        <v>449</v>
      </c>
      <c r="D622" s="1" t="s">
        <v>1505</v>
      </c>
      <c r="E622" s="3">
        <v>45175.0</v>
      </c>
      <c r="F622" s="1" t="s">
        <v>3</v>
      </c>
      <c r="G622" s="4">
        <v>3.03091231E8</v>
      </c>
      <c r="H622" s="1" t="s">
        <v>1490</v>
      </c>
      <c r="I622" s="2"/>
      <c r="J622" s="1" t="s">
        <v>1433</v>
      </c>
      <c r="K622" s="1">
        <v>125.0</v>
      </c>
      <c r="L622" s="1"/>
      <c r="M622" s="5">
        <v>105.0</v>
      </c>
    </row>
    <row r="623" ht="15.75" hidden="1" customHeight="1">
      <c r="A623" s="1" t="s">
        <v>1507</v>
      </c>
      <c r="B623" s="2">
        <v>686.0</v>
      </c>
      <c r="C623" s="1" t="s">
        <v>461</v>
      </c>
      <c r="D623" s="1" t="s">
        <v>1508</v>
      </c>
      <c r="E623" s="3">
        <v>45180.0</v>
      </c>
      <c r="F623" s="1" t="s">
        <v>3</v>
      </c>
      <c r="G623" s="4">
        <v>3.03091231E8</v>
      </c>
      <c r="H623" s="1" t="s">
        <v>1490</v>
      </c>
      <c r="I623" s="2"/>
      <c r="J623" s="1" t="s">
        <v>1433</v>
      </c>
      <c r="K623" s="1">
        <v>10.0</v>
      </c>
      <c r="L623" s="1"/>
      <c r="M623" s="5">
        <v>135.47</v>
      </c>
    </row>
    <row r="624" ht="15.75" hidden="1" customHeight="1">
      <c r="A624" s="1" t="s">
        <v>1509</v>
      </c>
      <c r="B624" s="2">
        <v>688.0</v>
      </c>
      <c r="C624" s="1" t="s">
        <v>461</v>
      </c>
      <c r="D624" s="1" t="s">
        <v>1510</v>
      </c>
      <c r="E624" s="3">
        <v>45180.0</v>
      </c>
      <c r="F624" s="1" t="s">
        <v>3</v>
      </c>
      <c r="G624" s="4">
        <v>3.03091231E8</v>
      </c>
      <c r="H624" s="1" t="s">
        <v>1490</v>
      </c>
      <c r="I624" s="2"/>
      <c r="J624" s="1" t="s">
        <v>1433</v>
      </c>
      <c r="K624" s="1">
        <v>100.0</v>
      </c>
      <c r="L624" s="1"/>
      <c r="M624" s="5">
        <v>133.0</v>
      </c>
    </row>
    <row r="625" ht="15.75" hidden="1" customHeight="1">
      <c r="A625" s="1" t="s">
        <v>1511</v>
      </c>
      <c r="B625" s="2">
        <v>689.0</v>
      </c>
      <c r="C625" s="1" t="s">
        <v>362</v>
      </c>
      <c r="D625" s="1" t="s">
        <v>1512</v>
      </c>
      <c r="E625" s="3">
        <v>45180.0</v>
      </c>
      <c r="F625" s="1" t="s">
        <v>3</v>
      </c>
      <c r="G625" s="4">
        <v>3.03091231E8</v>
      </c>
      <c r="H625" s="1" t="s">
        <v>1490</v>
      </c>
      <c r="I625" s="2"/>
      <c r="J625" s="1" t="s">
        <v>1433</v>
      </c>
      <c r="K625" s="1">
        <v>10.0</v>
      </c>
      <c r="L625" s="1"/>
      <c r="M625" s="5">
        <v>125.66</v>
      </c>
    </row>
    <row r="626" ht="15.75" hidden="1" customHeight="1">
      <c r="A626" s="1" t="s">
        <v>1513</v>
      </c>
      <c r="B626" s="2">
        <v>690.0</v>
      </c>
      <c r="C626" s="1" t="s">
        <v>769</v>
      </c>
      <c r="D626" s="1" t="s">
        <v>1514</v>
      </c>
      <c r="E626" s="3">
        <v>45191.0</v>
      </c>
      <c r="F626" s="1" t="s">
        <v>3</v>
      </c>
      <c r="G626" s="4">
        <v>3.03091231E8</v>
      </c>
      <c r="H626" s="1" t="s">
        <v>1490</v>
      </c>
      <c r="I626" s="2"/>
      <c r="J626" s="1" t="s">
        <v>416</v>
      </c>
      <c r="K626" s="1">
        <v>50.0</v>
      </c>
      <c r="L626" s="1"/>
      <c r="M626" s="5">
        <v>180.9</v>
      </c>
    </row>
    <row r="627" ht="15.75" hidden="1" customHeight="1">
      <c r="A627" s="1" t="s">
        <v>1515</v>
      </c>
      <c r="B627" s="2">
        <v>694.0</v>
      </c>
      <c r="C627" s="1" t="s">
        <v>488</v>
      </c>
      <c r="D627" s="1" t="s">
        <v>1516</v>
      </c>
      <c r="E627" s="3">
        <v>45191.0</v>
      </c>
      <c r="F627" s="1" t="s">
        <v>3</v>
      </c>
      <c r="G627" s="4">
        <v>3.03091231E8</v>
      </c>
      <c r="H627" s="1" t="s">
        <v>1490</v>
      </c>
      <c r="I627" s="2"/>
      <c r="J627" s="1" t="s">
        <v>1433</v>
      </c>
      <c r="K627" s="1">
        <v>5.0</v>
      </c>
      <c r="L627" s="1"/>
      <c r="M627" s="5">
        <v>110.53</v>
      </c>
    </row>
    <row r="628" ht="15.75" hidden="1" customHeight="1">
      <c r="A628" s="1" t="s">
        <v>1517</v>
      </c>
      <c r="B628" s="2">
        <v>706.0</v>
      </c>
      <c r="C628" s="1" t="s">
        <v>362</v>
      </c>
      <c r="D628" s="1" t="s">
        <v>1518</v>
      </c>
      <c r="E628" s="3">
        <v>45223.0</v>
      </c>
      <c r="F628" s="1" t="s">
        <v>3</v>
      </c>
      <c r="G628" s="4">
        <v>3.03091231E8</v>
      </c>
      <c r="H628" s="1" t="s">
        <v>1490</v>
      </c>
      <c r="I628" s="2"/>
      <c r="J628" s="1" t="s">
        <v>1433</v>
      </c>
      <c r="K628" s="1">
        <v>10.0</v>
      </c>
      <c r="L628" s="1"/>
      <c r="M628" s="5">
        <v>125.66</v>
      </c>
    </row>
    <row r="629" ht="15.75" hidden="1" customHeight="1">
      <c r="A629" s="1" t="s">
        <v>1519</v>
      </c>
      <c r="B629" s="2">
        <v>712.0</v>
      </c>
      <c r="C629" s="1" t="s">
        <v>872</v>
      </c>
      <c r="D629" s="1" t="s">
        <v>1520</v>
      </c>
      <c r="E629" s="3">
        <v>45224.0</v>
      </c>
      <c r="F629" s="1" t="s">
        <v>3</v>
      </c>
      <c r="G629" s="4">
        <v>3.03091231E8</v>
      </c>
      <c r="H629" s="1" t="s">
        <v>1490</v>
      </c>
      <c r="I629" s="2"/>
      <c r="J629" s="1" t="s">
        <v>1433</v>
      </c>
      <c r="K629" s="1">
        <v>100.0</v>
      </c>
      <c r="L629" s="1"/>
      <c r="M629" s="5">
        <v>151.88</v>
      </c>
    </row>
    <row r="630" ht="15.75" hidden="1" customHeight="1">
      <c r="A630" s="1" t="s">
        <v>1521</v>
      </c>
      <c r="B630" s="2">
        <v>736.0</v>
      </c>
      <c r="C630" s="1" t="s">
        <v>362</v>
      </c>
      <c r="D630" s="1" t="s">
        <v>1522</v>
      </c>
      <c r="E630" s="3">
        <v>45279.0</v>
      </c>
      <c r="F630" s="1" t="s">
        <v>3</v>
      </c>
      <c r="G630" s="4">
        <v>3.03091231E8</v>
      </c>
      <c r="H630" s="1" t="s">
        <v>1490</v>
      </c>
      <c r="I630" s="2"/>
      <c r="J630" s="1" t="s">
        <v>1433</v>
      </c>
      <c r="K630" s="1">
        <v>10.0</v>
      </c>
      <c r="L630" s="1"/>
      <c r="M630" s="5">
        <v>125.66</v>
      </c>
    </row>
    <row r="631" ht="15.75" hidden="1" customHeight="1">
      <c r="A631" s="1" t="s">
        <v>1523</v>
      </c>
      <c r="B631" s="2">
        <v>682.0</v>
      </c>
      <c r="C631" s="1" t="s">
        <v>169</v>
      </c>
      <c r="D631" s="1" t="s">
        <v>1524</v>
      </c>
      <c r="E631" s="3">
        <v>45175.0</v>
      </c>
      <c r="F631" s="1" t="s">
        <v>3</v>
      </c>
      <c r="G631" s="4">
        <v>3.03102231E8</v>
      </c>
      <c r="H631" s="1" t="s">
        <v>1525</v>
      </c>
      <c r="I631" s="2"/>
      <c r="J631" s="1" t="s">
        <v>1433</v>
      </c>
      <c r="K631" s="1">
        <v>40.0</v>
      </c>
      <c r="L631" s="1"/>
      <c r="M631" s="5">
        <v>133.09</v>
      </c>
    </row>
    <row r="632" ht="15.75" hidden="1" customHeight="1">
      <c r="A632" s="1" t="s">
        <v>1526</v>
      </c>
      <c r="B632" s="2">
        <v>691.0</v>
      </c>
      <c r="C632" s="1" t="s">
        <v>485</v>
      </c>
      <c r="D632" s="1" t="s">
        <v>1527</v>
      </c>
      <c r="E632" s="3">
        <v>45191.0</v>
      </c>
      <c r="F632" s="1" t="s">
        <v>3</v>
      </c>
      <c r="G632" s="4">
        <v>3.03102231E8</v>
      </c>
      <c r="H632" s="1" t="s">
        <v>1525</v>
      </c>
      <c r="I632" s="2"/>
      <c r="J632" s="1" t="s">
        <v>1433</v>
      </c>
      <c r="K632" s="1">
        <v>3.0</v>
      </c>
      <c r="L632" s="1"/>
      <c r="M632" s="5">
        <v>178.46</v>
      </c>
    </row>
    <row r="633" ht="15.75" hidden="1" customHeight="1">
      <c r="A633" s="1" t="s">
        <v>1528</v>
      </c>
      <c r="B633" s="2">
        <v>708.0</v>
      </c>
      <c r="C633" s="1" t="s">
        <v>485</v>
      </c>
      <c r="D633" s="1" t="s">
        <v>1529</v>
      </c>
      <c r="E633" s="3">
        <v>45224.0</v>
      </c>
      <c r="F633" s="1" t="s">
        <v>3</v>
      </c>
      <c r="G633" s="4">
        <v>3.03102231E8</v>
      </c>
      <c r="H633" s="1" t="s">
        <v>1525</v>
      </c>
      <c r="I633" s="2"/>
      <c r="J633" s="1" t="s">
        <v>623</v>
      </c>
      <c r="K633" s="1">
        <v>1.0</v>
      </c>
      <c r="L633" s="1"/>
      <c r="M633" s="5">
        <v>222.3</v>
      </c>
    </row>
    <row r="634" ht="15.75" hidden="1" customHeight="1">
      <c r="A634" s="1" t="s">
        <v>1530</v>
      </c>
      <c r="B634" s="2">
        <v>748.0</v>
      </c>
      <c r="C634" s="1" t="s">
        <v>513</v>
      </c>
      <c r="D634" s="1" t="s">
        <v>1531</v>
      </c>
      <c r="E634" s="3">
        <v>45299.0</v>
      </c>
      <c r="F634" s="1" t="s">
        <v>3</v>
      </c>
      <c r="G634" s="4">
        <v>3.03102231E8</v>
      </c>
      <c r="H634" s="1" t="s">
        <v>1525</v>
      </c>
      <c r="I634" s="2"/>
      <c r="J634" s="1" t="s">
        <v>1433</v>
      </c>
      <c r="K634" s="1">
        <v>40.0</v>
      </c>
      <c r="L634" s="1"/>
      <c r="M634" s="5">
        <v>158.42</v>
      </c>
    </row>
    <row r="635" ht="15.75" hidden="1" customHeight="1">
      <c r="A635" s="1" t="s">
        <v>1532</v>
      </c>
      <c r="B635" s="2">
        <v>798.0</v>
      </c>
      <c r="C635" s="1" t="s">
        <v>513</v>
      </c>
      <c r="D635" s="1" t="s">
        <v>1533</v>
      </c>
      <c r="E635" s="3">
        <v>45358.0</v>
      </c>
      <c r="F635" s="1" t="s">
        <v>3</v>
      </c>
      <c r="G635" s="4">
        <v>3.03102231E8</v>
      </c>
      <c r="H635" s="1" t="s">
        <v>1525</v>
      </c>
      <c r="I635" s="2"/>
      <c r="J635" s="1" t="s">
        <v>1433</v>
      </c>
      <c r="K635" s="1">
        <v>40.0</v>
      </c>
      <c r="L635" s="1"/>
      <c r="M635" s="5">
        <v>158.42</v>
      </c>
    </row>
    <row r="636" ht="15.75" hidden="1" customHeight="1">
      <c r="A636" s="1" t="s">
        <v>1534</v>
      </c>
      <c r="B636" s="2">
        <v>692.0</v>
      </c>
      <c r="C636" s="1" t="s">
        <v>219</v>
      </c>
      <c r="D636" s="1" t="s">
        <v>1535</v>
      </c>
      <c r="E636" s="3">
        <v>45191.0</v>
      </c>
      <c r="F636" s="1" t="s">
        <v>3</v>
      </c>
      <c r="G636" s="4">
        <v>3.03108231E8</v>
      </c>
      <c r="H636" s="1" t="s">
        <v>1536</v>
      </c>
      <c r="I636" s="2"/>
      <c r="J636" s="1" t="s">
        <v>1433</v>
      </c>
      <c r="K636" s="1">
        <v>100.0</v>
      </c>
      <c r="L636" s="1"/>
      <c r="M636" s="5">
        <v>113.49</v>
      </c>
    </row>
    <row r="637" ht="15.75" hidden="1" customHeight="1">
      <c r="A637" s="1" t="s">
        <v>1537</v>
      </c>
      <c r="B637" s="2">
        <v>704.0</v>
      </c>
      <c r="C637" s="1" t="s">
        <v>219</v>
      </c>
      <c r="D637" s="1" t="s">
        <v>1538</v>
      </c>
      <c r="E637" s="3">
        <v>45223.0</v>
      </c>
      <c r="F637" s="1" t="s">
        <v>3</v>
      </c>
      <c r="G637" s="4">
        <v>3.03108231E8</v>
      </c>
      <c r="H637" s="1" t="s">
        <v>1536</v>
      </c>
      <c r="I637" s="2"/>
      <c r="J637" s="1" t="s">
        <v>1433</v>
      </c>
      <c r="K637" s="1">
        <v>50.0</v>
      </c>
      <c r="L637" s="1"/>
      <c r="M637" s="5">
        <v>113.49</v>
      </c>
    </row>
    <row r="638" ht="15.75" hidden="1" customHeight="1">
      <c r="A638" s="1" t="s">
        <v>1539</v>
      </c>
      <c r="B638" s="2">
        <v>710.0</v>
      </c>
      <c r="C638" s="1" t="s">
        <v>219</v>
      </c>
      <c r="D638" s="1" t="s">
        <v>1540</v>
      </c>
      <c r="E638" s="3">
        <v>45224.0</v>
      </c>
      <c r="F638" s="1" t="s">
        <v>3</v>
      </c>
      <c r="G638" s="4">
        <v>3.03108231E8</v>
      </c>
      <c r="H638" s="1" t="s">
        <v>1536</v>
      </c>
      <c r="I638" s="2"/>
      <c r="J638" s="1" t="s">
        <v>1433</v>
      </c>
      <c r="K638" s="1">
        <v>50.0</v>
      </c>
      <c r="L638" s="1"/>
      <c r="M638" s="5">
        <v>113.49</v>
      </c>
    </row>
    <row r="639" ht="15.75" hidden="1" customHeight="1">
      <c r="A639" s="1" t="s">
        <v>1541</v>
      </c>
      <c r="B639" s="2">
        <v>715.0</v>
      </c>
      <c r="C639" s="1" t="s">
        <v>219</v>
      </c>
      <c r="D639" s="1" t="s">
        <v>1542</v>
      </c>
      <c r="E639" s="3">
        <v>45252.0</v>
      </c>
      <c r="F639" s="1" t="s">
        <v>3</v>
      </c>
      <c r="G639" s="4">
        <v>3.03108231E8</v>
      </c>
      <c r="H639" s="1" t="s">
        <v>1536</v>
      </c>
      <c r="I639" s="2"/>
      <c r="J639" s="1" t="s">
        <v>1433</v>
      </c>
      <c r="K639" s="1">
        <v>50.0</v>
      </c>
      <c r="L639" s="1"/>
      <c r="M639" s="5">
        <v>113.49</v>
      </c>
    </row>
    <row r="640" ht="15.75" hidden="1" customHeight="1">
      <c r="A640" s="1" t="s">
        <v>1543</v>
      </c>
      <c r="B640" s="2">
        <v>721.0</v>
      </c>
      <c r="C640" s="1" t="s">
        <v>219</v>
      </c>
      <c r="D640" s="1" t="s">
        <v>1544</v>
      </c>
      <c r="E640" s="3">
        <v>45252.0</v>
      </c>
      <c r="F640" s="1" t="s">
        <v>3</v>
      </c>
      <c r="G640" s="4">
        <v>3.03108231E8</v>
      </c>
      <c r="H640" s="1" t="s">
        <v>1536</v>
      </c>
      <c r="I640" s="2"/>
      <c r="J640" s="1" t="s">
        <v>1433</v>
      </c>
      <c r="K640" s="1">
        <v>25.0</v>
      </c>
      <c r="L640" s="1"/>
      <c r="M640" s="5">
        <v>113.49</v>
      </c>
    </row>
    <row r="641" ht="15.75" hidden="1" customHeight="1">
      <c r="A641" s="1" t="s">
        <v>1545</v>
      </c>
      <c r="B641" s="2">
        <v>722.0</v>
      </c>
      <c r="C641" s="1" t="s">
        <v>219</v>
      </c>
      <c r="D641" s="1" t="s">
        <v>1546</v>
      </c>
      <c r="E641" s="3">
        <v>45252.0</v>
      </c>
      <c r="F641" s="1" t="s">
        <v>3</v>
      </c>
      <c r="G641" s="4">
        <v>3.03108231E8</v>
      </c>
      <c r="H641" s="1" t="s">
        <v>1536</v>
      </c>
      <c r="I641" s="2"/>
      <c r="J641" s="1" t="s">
        <v>1433</v>
      </c>
      <c r="K641" s="1">
        <v>25.0</v>
      </c>
      <c r="L641" s="1"/>
      <c r="M641" s="5">
        <v>113.49</v>
      </c>
    </row>
    <row r="642" ht="15.75" hidden="1" customHeight="1">
      <c r="A642" s="1" t="s">
        <v>1547</v>
      </c>
      <c r="B642" s="2">
        <v>729.0</v>
      </c>
      <c r="C642" s="1" t="s">
        <v>219</v>
      </c>
      <c r="D642" s="1" t="s">
        <v>1548</v>
      </c>
      <c r="E642" s="3">
        <v>45279.0</v>
      </c>
      <c r="F642" s="1" t="s">
        <v>3</v>
      </c>
      <c r="G642" s="4">
        <v>3.03108231E8</v>
      </c>
      <c r="H642" s="1" t="s">
        <v>1536</v>
      </c>
      <c r="I642" s="2"/>
      <c r="J642" s="1" t="s">
        <v>1433</v>
      </c>
      <c r="K642" s="1">
        <v>50.0</v>
      </c>
      <c r="L642" s="1"/>
      <c r="M642" s="5">
        <v>113.49</v>
      </c>
    </row>
    <row r="643" ht="15.75" hidden="1" customHeight="1">
      <c r="A643" s="7" t="s">
        <v>1549</v>
      </c>
      <c r="B643" s="8">
        <v>744.0</v>
      </c>
      <c r="C643" s="7" t="s">
        <v>219</v>
      </c>
      <c r="D643" s="7" t="s">
        <v>1550</v>
      </c>
      <c r="E643" s="9">
        <v>45296.0</v>
      </c>
      <c r="F643" s="7" t="s">
        <v>3</v>
      </c>
      <c r="G643" s="10">
        <v>3.03108231E8</v>
      </c>
      <c r="H643" s="7" t="s">
        <v>1536</v>
      </c>
      <c r="I643" s="8"/>
      <c r="J643" s="7" t="s">
        <v>1433</v>
      </c>
      <c r="K643" s="7">
        <v>20.0</v>
      </c>
      <c r="L643" s="7"/>
      <c r="M643" s="11">
        <v>113.49</v>
      </c>
    </row>
    <row r="644" ht="15.75" hidden="1" customHeight="1">
      <c r="A644" s="1" t="s">
        <v>1551</v>
      </c>
      <c r="B644" s="2">
        <v>750.0</v>
      </c>
      <c r="C644" s="1" t="s">
        <v>219</v>
      </c>
      <c r="D644" s="1" t="s">
        <v>1552</v>
      </c>
      <c r="E644" s="3">
        <v>45299.0</v>
      </c>
      <c r="F644" s="1" t="s">
        <v>3</v>
      </c>
      <c r="G644" s="4">
        <v>3.03108231E8</v>
      </c>
      <c r="H644" s="1" t="s">
        <v>1536</v>
      </c>
      <c r="I644" s="2"/>
      <c r="J644" s="1" t="s">
        <v>1433</v>
      </c>
      <c r="K644" s="1">
        <v>2.0</v>
      </c>
      <c r="L644" s="1"/>
      <c r="M644" s="5">
        <v>113.49</v>
      </c>
    </row>
    <row r="645" ht="15.75" hidden="1" customHeight="1">
      <c r="A645" s="1" t="s">
        <v>1553</v>
      </c>
      <c r="B645" s="2">
        <v>757.0</v>
      </c>
      <c r="C645" s="1" t="s">
        <v>219</v>
      </c>
      <c r="D645" s="1" t="s">
        <v>1554</v>
      </c>
      <c r="E645" s="3">
        <v>45306.0</v>
      </c>
      <c r="F645" s="1" t="s">
        <v>3</v>
      </c>
      <c r="G645" s="4">
        <v>3.03108231E8</v>
      </c>
      <c r="H645" s="1" t="s">
        <v>1536</v>
      </c>
      <c r="I645" s="2"/>
      <c r="J645" s="1" t="s">
        <v>1433</v>
      </c>
      <c r="K645" s="1">
        <v>50.0</v>
      </c>
      <c r="L645" s="1"/>
      <c r="M645" s="5">
        <v>119.46</v>
      </c>
    </row>
    <row r="646" ht="15.75" hidden="1" customHeight="1">
      <c r="A646" s="1" t="s">
        <v>1555</v>
      </c>
      <c r="B646" s="2">
        <v>732.0</v>
      </c>
      <c r="C646" s="1" t="s">
        <v>126</v>
      </c>
      <c r="D646" s="1" t="s">
        <v>1556</v>
      </c>
      <c r="E646" s="3">
        <v>45279.0</v>
      </c>
      <c r="F646" s="1" t="s">
        <v>3</v>
      </c>
      <c r="G646" s="4">
        <v>3.03150231E8</v>
      </c>
      <c r="H646" s="1" t="s">
        <v>1557</v>
      </c>
      <c r="I646" s="2"/>
      <c r="J646" s="1" t="s">
        <v>1433</v>
      </c>
      <c r="K646" s="1">
        <v>5.0</v>
      </c>
      <c r="L646" s="1"/>
      <c r="M646" s="5">
        <v>178.34</v>
      </c>
    </row>
    <row r="647" ht="15.75" hidden="1" customHeight="1">
      <c r="A647" s="1" t="s">
        <v>1558</v>
      </c>
      <c r="B647" s="2">
        <v>742.0</v>
      </c>
      <c r="C647" s="1" t="s">
        <v>449</v>
      </c>
      <c r="D647" s="1" t="s">
        <v>1559</v>
      </c>
      <c r="E647" s="3">
        <v>45279.0</v>
      </c>
      <c r="F647" s="1" t="s">
        <v>3</v>
      </c>
      <c r="G647" s="4">
        <v>3.03150231E8</v>
      </c>
      <c r="H647" s="1" t="s">
        <v>1557</v>
      </c>
      <c r="I647" s="2"/>
      <c r="J647" s="1" t="s">
        <v>1433</v>
      </c>
      <c r="K647" s="1">
        <v>125.0</v>
      </c>
      <c r="L647" s="1"/>
      <c r="M647" s="5">
        <v>105.0</v>
      </c>
    </row>
    <row r="648" ht="15.75" hidden="1" customHeight="1">
      <c r="A648" s="1" t="s">
        <v>1560</v>
      </c>
      <c r="B648" s="2">
        <v>751.0</v>
      </c>
      <c r="C648" s="1" t="s">
        <v>362</v>
      </c>
      <c r="D648" s="1" t="s">
        <v>1561</v>
      </c>
      <c r="E648" s="3">
        <v>45306.0</v>
      </c>
      <c r="F648" s="1" t="s">
        <v>3</v>
      </c>
      <c r="G648" s="4">
        <v>3.03150231E8</v>
      </c>
      <c r="H648" s="1" t="s">
        <v>1557</v>
      </c>
      <c r="I648" s="2"/>
      <c r="J648" s="1" t="s">
        <v>1433</v>
      </c>
      <c r="K648" s="1">
        <v>15.0</v>
      </c>
      <c r="L648" s="1"/>
      <c r="M648" s="5">
        <v>125.66</v>
      </c>
    </row>
    <row r="649" ht="15.75" hidden="1" customHeight="1">
      <c r="A649" s="1" t="s">
        <v>1562</v>
      </c>
      <c r="B649" s="2">
        <v>759.0</v>
      </c>
      <c r="C649" s="1" t="s">
        <v>449</v>
      </c>
      <c r="D649" s="1" t="s">
        <v>1563</v>
      </c>
      <c r="E649" s="3">
        <v>45306.0</v>
      </c>
      <c r="F649" s="1" t="s">
        <v>3</v>
      </c>
      <c r="G649" s="4">
        <v>3.03150231E8</v>
      </c>
      <c r="H649" s="1" t="s">
        <v>1557</v>
      </c>
      <c r="I649" s="2"/>
      <c r="J649" s="1" t="s">
        <v>1433</v>
      </c>
      <c r="K649" s="1">
        <v>125.0</v>
      </c>
      <c r="L649" s="1"/>
      <c r="M649" s="5">
        <v>108.0</v>
      </c>
    </row>
    <row r="650" ht="15.75" hidden="1" customHeight="1">
      <c r="A650" s="1" t="s">
        <v>1564</v>
      </c>
      <c r="B650" s="2">
        <v>793.0</v>
      </c>
      <c r="C650" s="1" t="s">
        <v>219</v>
      </c>
      <c r="D650" s="1" t="s">
        <v>1565</v>
      </c>
      <c r="E650" s="3">
        <v>45351.0</v>
      </c>
      <c r="F650" s="1" t="s">
        <v>3</v>
      </c>
      <c r="G650" s="4">
        <v>3.03150231E8</v>
      </c>
      <c r="H650" s="1" t="s">
        <v>1557</v>
      </c>
      <c r="I650" s="2"/>
      <c r="J650" s="1" t="s">
        <v>1433</v>
      </c>
      <c r="K650" s="1">
        <v>100.0</v>
      </c>
      <c r="L650" s="1"/>
      <c r="M650" s="5">
        <v>119.46</v>
      </c>
    </row>
    <row r="651" ht="15.75" hidden="1" customHeight="1">
      <c r="A651" s="1" t="s">
        <v>1566</v>
      </c>
      <c r="B651" s="2">
        <v>739.0</v>
      </c>
      <c r="C651" s="1" t="s">
        <v>461</v>
      </c>
      <c r="D651" s="1" t="s">
        <v>1567</v>
      </c>
      <c r="E651" s="3">
        <v>45279.0</v>
      </c>
      <c r="F651" s="1" t="s">
        <v>3</v>
      </c>
      <c r="G651" s="4">
        <v>3.03161231E8</v>
      </c>
      <c r="H651" s="1" t="s">
        <v>1568</v>
      </c>
      <c r="I651" s="2"/>
      <c r="J651" s="1" t="s">
        <v>1433</v>
      </c>
      <c r="K651" s="1">
        <v>100.0</v>
      </c>
      <c r="L651" s="1"/>
      <c r="M651" s="5">
        <v>133.0</v>
      </c>
    </row>
    <row r="652" ht="15.75" hidden="1" customHeight="1">
      <c r="A652" s="1" t="s">
        <v>1569</v>
      </c>
      <c r="B652" s="2">
        <v>740.0</v>
      </c>
      <c r="C652" s="1" t="s">
        <v>461</v>
      </c>
      <c r="D652" s="1" t="s">
        <v>1570</v>
      </c>
      <c r="E652" s="3">
        <v>45279.0</v>
      </c>
      <c r="F652" s="1" t="s">
        <v>86</v>
      </c>
      <c r="G652" s="4">
        <v>3.03161231E8</v>
      </c>
      <c r="H652" s="1" t="s">
        <v>1568</v>
      </c>
      <c r="I652" s="2"/>
      <c r="J652" s="1" t="s">
        <v>1433</v>
      </c>
      <c r="K652" s="1">
        <v>10.0</v>
      </c>
      <c r="L652" s="1"/>
      <c r="M652" s="5">
        <v>135.47</v>
      </c>
    </row>
    <row r="653" ht="15.75" hidden="1" customHeight="1">
      <c r="A653" s="1" t="s">
        <v>1571</v>
      </c>
      <c r="B653" s="2">
        <v>741.0</v>
      </c>
      <c r="C653" s="1" t="s">
        <v>872</v>
      </c>
      <c r="D653" s="1" t="s">
        <v>1572</v>
      </c>
      <c r="E653" s="3">
        <v>45279.0</v>
      </c>
      <c r="F653" s="1" t="s">
        <v>3</v>
      </c>
      <c r="G653" s="4">
        <v>3.03161231E8</v>
      </c>
      <c r="H653" s="1" t="s">
        <v>1568</v>
      </c>
      <c r="I653" s="2"/>
      <c r="J653" s="1" t="s">
        <v>1433</v>
      </c>
      <c r="K653" s="1">
        <v>350.0</v>
      </c>
      <c r="L653" s="1"/>
      <c r="M653" s="5">
        <v>151.88</v>
      </c>
    </row>
    <row r="654" ht="15.75" hidden="1" customHeight="1">
      <c r="A654" s="1" t="s">
        <v>1573</v>
      </c>
      <c r="B654" s="2">
        <v>1013.0</v>
      </c>
      <c r="C654" s="1" t="s">
        <v>1264</v>
      </c>
      <c r="D654" s="1" t="s">
        <v>1574</v>
      </c>
      <c r="E654" s="3">
        <v>45708.0</v>
      </c>
      <c r="F654" s="1" t="s">
        <v>3</v>
      </c>
      <c r="G654" s="4">
        <v>3.03253241E8</v>
      </c>
      <c r="H654" s="1" t="s">
        <v>1575</v>
      </c>
      <c r="I654" s="2"/>
      <c r="J654" s="1" t="s">
        <v>1433</v>
      </c>
      <c r="K654" s="1">
        <v>2125.0</v>
      </c>
      <c r="L654" s="1"/>
      <c r="M654" s="5">
        <v>116.0</v>
      </c>
    </row>
    <row r="655" ht="15.75" hidden="1" customHeight="1">
      <c r="A655" s="1" t="s">
        <v>1576</v>
      </c>
      <c r="B655" s="2">
        <v>1021.0</v>
      </c>
      <c r="C655" s="1" t="s">
        <v>1264</v>
      </c>
      <c r="D655" s="1" t="s">
        <v>1577</v>
      </c>
      <c r="E655" s="3">
        <v>45708.0</v>
      </c>
      <c r="F655" s="1" t="s">
        <v>3</v>
      </c>
      <c r="G655" s="4">
        <v>3.03253241E8</v>
      </c>
      <c r="H655" s="1" t="s">
        <v>1575</v>
      </c>
      <c r="I655" s="2"/>
      <c r="J655" s="1" t="s">
        <v>1433</v>
      </c>
      <c r="K655" s="1">
        <v>2125.0</v>
      </c>
      <c r="L655" s="1"/>
      <c r="M655" s="5">
        <v>115.0</v>
      </c>
    </row>
    <row r="656" ht="15.75" hidden="1" customHeight="1">
      <c r="A656" s="1" t="s">
        <v>1578</v>
      </c>
      <c r="B656" s="2">
        <v>1022.0</v>
      </c>
      <c r="C656" s="1" t="s">
        <v>1264</v>
      </c>
      <c r="D656" s="1" t="s">
        <v>1579</v>
      </c>
      <c r="E656" s="3">
        <v>45708.0</v>
      </c>
      <c r="F656" s="1" t="s">
        <v>3</v>
      </c>
      <c r="G656" s="4">
        <v>3.03253241E8</v>
      </c>
      <c r="H656" s="1" t="s">
        <v>1575</v>
      </c>
      <c r="I656" s="2"/>
      <c r="J656" s="1" t="s">
        <v>1433</v>
      </c>
      <c r="K656" s="1">
        <v>1500.0</v>
      </c>
      <c r="L656" s="1"/>
      <c r="M656" s="5">
        <v>121.0</v>
      </c>
    </row>
    <row r="657" ht="15.75" hidden="1" customHeight="1">
      <c r="A657" s="1" t="s">
        <v>1580</v>
      </c>
      <c r="B657" s="2">
        <v>1023.0</v>
      </c>
      <c r="C657" s="1" t="s">
        <v>1264</v>
      </c>
      <c r="D657" s="1" t="s">
        <v>1581</v>
      </c>
      <c r="E657" s="3">
        <v>45708.0</v>
      </c>
      <c r="F657" s="1" t="s">
        <v>3</v>
      </c>
      <c r="G657" s="4">
        <v>3.03253241E8</v>
      </c>
      <c r="H657" s="1" t="s">
        <v>1575</v>
      </c>
      <c r="I657" s="2"/>
      <c r="J657" s="1" t="s">
        <v>1433</v>
      </c>
      <c r="K657" s="1">
        <v>1500.0</v>
      </c>
      <c r="L657" s="1"/>
      <c r="M657" s="5">
        <v>121.0</v>
      </c>
    </row>
    <row r="658" ht="15.75" hidden="1" customHeight="1">
      <c r="A658" s="1" t="s">
        <v>1369</v>
      </c>
      <c r="B658" s="2">
        <v>506.0</v>
      </c>
      <c r="C658" s="1" t="s">
        <v>27</v>
      </c>
      <c r="D658" s="1" t="s">
        <v>1370</v>
      </c>
      <c r="E658" s="3">
        <v>44949.0</v>
      </c>
      <c r="F658" s="1" t="s">
        <v>3</v>
      </c>
      <c r="G658" s="4">
        <v>3.06002231E8</v>
      </c>
      <c r="H658" s="1" t="s">
        <v>1582</v>
      </c>
      <c r="I658" s="2"/>
      <c r="J658" s="1" t="s">
        <v>623</v>
      </c>
      <c r="K658" s="1">
        <v>500.0</v>
      </c>
      <c r="L658" s="1"/>
      <c r="M658" s="5">
        <v>95.58</v>
      </c>
    </row>
    <row r="659" ht="15.75" hidden="1" customHeight="1">
      <c r="A659" s="1" t="s">
        <v>1583</v>
      </c>
      <c r="B659" s="2">
        <v>495.0</v>
      </c>
      <c r="C659" s="1" t="s">
        <v>566</v>
      </c>
      <c r="D659" s="1" t="s">
        <v>1584</v>
      </c>
      <c r="E659" s="3">
        <v>44931.0</v>
      </c>
      <c r="F659" s="1" t="s">
        <v>3</v>
      </c>
      <c r="G659" s="4">
        <v>3.07028231E8</v>
      </c>
      <c r="H659" s="1" t="s">
        <v>1585</v>
      </c>
      <c r="I659" s="2"/>
      <c r="J659" s="1" t="s">
        <v>416</v>
      </c>
      <c r="K659" s="1">
        <v>20.0</v>
      </c>
      <c r="L659" s="1"/>
      <c r="M659" s="5">
        <v>152.25</v>
      </c>
    </row>
    <row r="660" ht="15.75" hidden="1" customHeight="1">
      <c r="A660" s="1" t="s">
        <v>1586</v>
      </c>
      <c r="B660" s="2">
        <v>497.0</v>
      </c>
      <c r="C660" s="1" t="s">
        <v>449</v>
      </c>
      <c r="D660" s="1" t="s">
        <v>1587</v>
      </c>
      <c r="E660" s="3">
        <v>44931.0</v>
      </c>
      <c r="F660" s="1" t="s">
        <v>3</v>
      </c>
      <c r="G660" s="4">
        <v>3.07028231E8</v>
      </c>
      <c r="H660" s="1" t="s">
        <v>1585</v>
      </c>
      <c r="I660" s="2"/>
      <c r="J660" s="1" t="s">
        <v>9</v>
      </c>
      <c r="K660" s="1">
        <v>125.0</v>
      </c>
      <c r="L660" s="1"/>
      <c r="M660" s="5">
        <v>105.0</v>
      </c>
    </row>
    <row r="661" ht="15.75" hidden="1" customHeight="1">
      <c r="A661" s="1" t="s">
        <v>1588</v>
      </c>
      <c r="B661" s="2">
        <v>498.0</v>
      </c>
      <c r="C661" s="1" t="s">
        <v>169</v>
      </c>
      <c r="D661" s="1" t="s">
        <v>1589</v>
      </c>
      <c r="E661" s="3">
        <v>44931.0</v>
      </c>
      <c r="F661" s="1" t="s">
        <v>3</v>
      </c>
      <c r="G661" s="4">
        <v>3.07028231E8</v>
      </c>
      <c r="H661" s="1" t="s">
        <v>1585</v>
      </c>
      <c r="I661" s="2"/>
      <c r="J661" s="1" t="s">
        <v>124</v>
      </c>
      <c r="K661" s="1">
        <v>25.0</v>
      </c>
      <c r="L661" s="1"/>
      <c r="M661" s="5">
        <v>119.26</v>
      </c>
    </row>
    <row r="662" ht="15.75" hidden="1" customHeight="1">
      <c r="A662" s="1" t="s">
        <v>1590</v>
      </c>
      <c r="B662" s="2">
        <v>501.0</v>
      </c>
      <c r="C662" s="1" t="s">
        <v>27</v>
      </c>
      <c r="D662" s="1" t="s">
        <v>1591</v>
      </c>
      <c r="E662" s="3">
        <v>44935.0</v>
      </c>
      <c r="F662" s="1" t="s">
        <v>3</v>
      </c>
      <c r="G662" s="4">
        <v>3.07028231E8</v>
      </c>
      <c r="H662" s="1" t="s">
        <v>1585</v>
      </c>
      <c r="I662" s="2"/>
      <c r="J662" s="1" t="s">
        <v>9</v>
      </c>
      <c r="K662" s="1">
        <v>300.0</v>
      </c>
      <c r="L662" s="1"/>
      <c r="M662" s="5">
        <v>109.54</v>
      </c>
    </row>
    <row r="663" ht="15.75" hidden="1" customHeight="1">
      <c r="A663" s="1" t="s">
        <v>1590</v>
      </c>
      <c r="B663" s="2">
        <v>501.0</v>
      </c>
      <c r="C663" s="1" t="s">
        <v>27</v>
      </c>
      <c r="D663" s="1" t="s">
        <v>1591</v>
      </c>
      <c r="E663" s="3">
        <v>44935.0</v>
      </c>
      <c r="F663" s="1" t="s">
        <v>3</v>
      </c>
      <c r="G663" s="4">
        <v>3.07028231E8</v>
      </c>
      <c r="H663" s="1" t="s">
        <v>1585</v>
      </c>
      <c r="I663" s="2"/>
      <c r="J663" s="1" t="s">
        <v>896</v>
      </c>
      <c r="K663" s="1">
        <v>50.0</v>
      </c>
      <c r="L663" s="1"/>
      <c r="M663" s="5">
        <v>239.83</v>
      </c>
    </row>
    <row r="664" ht="15.75" hidden="1" customHeight="1">
      <c r="A664" s="1" t="s">
        <v>1590</v>
      </c>
      <c r="B664" s="2">
        <v>501.0</v>
      </c>
      <c r="C664" s="1" t="s">
        <v>27</v>
      </c>
      <c r="D664" s="1" t="s">
        <v>1591</v>
      </c>
      <c r="E664" s="3">
        <v>44935.0</v>
      </c>
      <c r="F664" s="1" t="s">
        <v>3</v>
      </c>
      <c r="G664" s="4">
        <v>3.07028231E8</v>
      </c>
      <c r="H664" s="1" t="s">
        <v>1585</v>
      </c>
      <c r="I664" s="2"/>
      <c r="J664" s="1" t="s">
        <v>124</v>
      </c>
      <c r="K664" s="1">
        <v>20.0</v>
      </c>
      <c r="L664" s="1"/>
      <c r="M664" s="5">
        <v>112.98</v>
      </c>
    </row>
    <row r="665" ht="15.75" hidden="1" customHeight="1">
      <c r="A665" s="1" t="s">
        <v>1369</v>
      </c>
      <c r="B665" s="2">
        <v>506.0</v>
      </c>
      <c r="C665" s="1" t="s">
        <v>27</v>
      </c>
      <c r="D665" s="1" t="s">
        <v>1370</v>
      </c>
      <c r="E665" s="3">
        <v>44949.0</v>
      </c>
      <c r="F665" s="1" t="s">
        <v>3</v>
      </c>
      <c r="G665" s="4">
        <v>3.07028231E8</v>
      </c>
      <c r="H665" s="1" t="s">
        <v>1585</v>
      </c>
      <c r="I665" s="2"/>
      <c r="J665" s="1" t="s">
        <v>1259</v>
      </c>
      <c r="K665" s="1">
        <v>1500.0</v>
      </c>
      <c r="L665" s="1"/>
      <c r="M665" s="5">
        <v>123.13</v>
      </c>
    </row>
    <row r="666" ht="15.75" hidden="1" customHeight="1">
      <c r="A666" s="1" t="s">
        <v>1592</v>
      </c>
      <c r="B666" s="2">
        <v>507.0</v>
      </c>
      <c r="C666" s="1" t="s">
        <v>449</v>
      </c>
      <c r="D666" s="1" t="s">
        <v>1593</v>
      </c>
      <c r="E666" s="3">
        <v>44957.0</v>
      </c>
      <c r="F666" s="1" t="s">
        <v>3</v>
      </c>
      <c r="G666" s="4">
        <v>3.07028231E8</v>
      </c>
      <c r="H666" s="1" t="s">
        <v>1585</v>
      </c>
      <c r="I666" s="2"/>
      <c r="J666" s="1" t="s">
        <v>9</v>
      </c>
      <c r="K666" s="1">
        <v>125.0</v>
      </c>
      <c r="L666" s="1"/>
      <c r="M666" s="5">
        <v>105.0</v>
      </c>
    </row>
    <row r="667" ht="15.75" hidden="1" customHeight="1">
      <c r="A667" s="1" t="s">
        <v>1594</v>
      </c>
      <c r="B667" s="2">
        <v>509.0</v>
      </c>
      <c r="C667" s="1" t="s">
        <v>706</v>
      </c>
      <c r="D667" s="1" t="s">
        <v>1595</v>
      </c>
      <c r="E667" s="3">
        <v>44957.0</v>
      </c>
      <c r="F667" s="1" t="s">
        <v>3</v>
      </c>
      <c r="G667" s="4">
        <v>3.07028231E8</v>
      </c>
      <c r="H667" s="1" t="s">
        <v>1585</v>
      </c>
      <c r="I667" s="2"/>
      <c r="J667" s="1" t="s">
        <v>124</v>
      </c>
      <c r="K667" s="1">
        <v>10.0</v>
      </c>
      <c r="L667" s="1"/>
      <c r="M667" s="5">
        <v>165.0</v>
      </c>
    </row>
    <row r="668" ht="15.75" hidden="1" customHeight="1">
      <c r="A668" s="1" t="s">
        <v>1596</v>
      </c>
      <c r="B668" s="2">
        <v>514.0</v>
      </c>
      <c r="C668" s="1" t="s">
        <v>126</v>
      </c>
      <c r="D668" s="1" t="s">
        <v>1597</v>
      </c>
      <c r="E668" s="3">
        <v>44959.0</v>
      </c>
      <c r="F668" s="1" t="s">
        <v>3</v>
      </c>
      <c r="G668" s="4">
        <v>3.07028231E8</v>
      </c>
      <c r="H668" s="1" t="s">
        <v>1585</v>
      </c>
      <c r="I668" s="2"/>
      <c r="J668" s="1" t="s">
        <v>647</v>
      </c>
      <c r="K668" s="1">
        <v>5.0</v>
      </c>
      <c r="L668" s="1"/>
      <c r="M668" s="5">
        <v>178.34</v>
      </c>
    </row>
    <row r="669" ht="15.75" hidden="1" customHeight="1">
      <c r="A669" s="1" t="s">
        <v>1598</v>
      </c>
      <c r="B669" s="2">
        <v>601.0</v>
      </c>
      <c r="C669" s="1" t="s">
        <v>27</v>
      </c>
      <c r="D669" s="1" t="s">
        <v>1599</v>
      </c>
      <c r="E669" s="1" t="s">
        <v>60</v>
      </c>
      <c r="F669" s="1" t="s">
        <v>3</v>
      </c>
      <c r="G669" s="4">
        <v>3.07028231E8</v>
      </c>
      <c r="H669" s="1" t="s">
        <v>1585</v>
      </c>
      <c r="I669" s="2"/>
      <c r="K669" s="1">
        <v>300.0</v>
      </c>
      <c r="L669" s="1"/>
      <c r="M669" s="5">
        <v>110.41</v>
      </c>
    </row>
    <row r="670" ht="15.75" hidden="1" customHeight="1">
      <c r="A670" s="1" t="s">
        <v>1598</v>
      </c>
      <c r="B670" s="2">
        <v>601.0</v>
      </c>
      <c r="C670" s="1" t="s">
        <v>27</v>
      </c>
      <c r="D670" s="1" t="s">
        <v>1599</v>
      </c>
      <c r="E670" s="1" t="s">
        <v>60</v>
      </c>
      <c r="F670" s="1" t="s">
        <v>3</v>
      </c>
      <c r="G670" s="4">
        <v>3.07028231E8</v>
      </c>
      <c r="H670" s="1" t="s">
        <v>1585</v>
      </c>
      <c r="I670" s="2"/>
      <c r="K670" s="1">
        <v>50.0</v>
      </c>
      <c r="L670" s="1"/>
      <c r="M670" s="5">
        <v>239.83</v>
      </c>
    </row>
    <row r="671" ht="15.75" hidden="1" customHeight="1">
      <c r="A671" s="1" t="s">
        <v>1598</v>
      </c>
      <c r="B671" s="2">
        <v>601.0</v>
      </c>
      <c r="C671" s="1" t="s">
        <v>27</v>
      </c>
      <c r="D671" s="1" t="s">
        <v>1599</v>
      </c>
      <c r="E671" s="1" t="s">
        <v>60</v>
      </c>
      <c r="F671" s="1" t="s">
        <v>3</v>
      </c>
      <c r="G671" s="4">
        <v>3.07028231E8</v>
      </c>
      <c r="H671" s="1" t="s">
        <v>1585</v>
      </c>
      <c r="I671" s="2"/>
      <c r="K671" s="1">
        <v>20.0</v>
      </c>
      <c r="L671" s="1"/>
      <c r="M671" s="5">
        <v>112.98</v>
      </c>
    </row>
    <row r="672" ht="15.75" hidden="1" customHeight="1">
      <c r="A672" s="1" t="s">
        <v>1600</v>
      </c>
      <c r="B672" s="2">
        <v>645.0</v>
      </c>
      <c r="C672" s="1" t="s">
        <v>566</v>
      </c>
      <c r="D672" s="1" t="s">
        <v>1601</v>
      </c>
      <c r="E672" s="1" t="s">
        <v>60</v>
      </c>
      <c r="F672" s="1" t="s">
        <v>3</v>
      </c>
      <c r="G672" s="4">
        <v>3.07028231E8</v>
      </c>
      <c r="H672" s="1" t="s">
        <v>1585</v>
      </c>
      <c r="I672" s="2"/>
      <c r="J672" s="1" t="s">
        <v>416</v>
      </c>
      <c r="K672" s="1">
        <v>20.0</v>
      </c>
      <c r="L672" s="1"/>
      <c r="M672" s="5">
        <v>152.25</v>
      </c>
    </row>
    <row r="673" ht="15.75" hidden="1" customHeight="1">
      <c r="A673" s="1" t="s">
        <v>1602</v>
      </c>
      <c r="B673" s="2">
        <v>530.0</v>
      </c>
      <c r="C673" s="1" t="s">
        <v>169</v>
      </c>
      <c r="D673" s="1" t="s">
        <v>1603</v>
      </c>
      <c r="E673" s="3">
        <v>45002.0</v>
      </c>
      <c r="F673" s="1" t="s">
        <v>3</v>
      </c>
      <c r="G673" s="4">
        <v>3.07043231E8</v>
      </c>
      <c r="H673" s="1" t="s">
        <v>1604</v>
      </c>
      <c r="I673" s="2"/>
      <c r="J673" s="1" t="s">
        <v>124</v>
      </c>
      <c r="K673" s="1">
        <v>25.0</v>
      </c>
      <c r="L673" s="1"/>
      <c r="M673" s="5">
        <v>132.51</v>
      </c>
    </row>
    <row r="674" ht="15.75" hidden="1" customHeight="1">
      <c r="A674" s="1" t="s">
        <v>1605</v>
      </c>
      <c r="B674" s="2">
        <v>554.0</v>
      </c>
      <c r="C674" s="1" t="s">
        <v>449</v>
      </c>
      <c r="D674" s="1" t="s">
        <v>1606</v>
      </c>
      <c r="E674" s="3">
        <v>45033.0</v>
      </c>
      <c r="F674" s="1" t="s">
        <v>3</v>
      </c>
      <c r="G674" s="4">
        <v>3.07043231E8</v>
      </c>
      <c r="H674" s="1" t="s">
        <v>1604</v>
      </c>
      <c r="I674" s="2"/>
      <c r="J674" s="1" t="s">
        <v>623</v>
      </c>
      <c r="K674" s="1">
        <v>125.0</v>
      </c>
      <c r="L674" s="1"/>
      <c r="M674" s="5">
        <v>105.0</v>
      </c>
    </row>
    <row r="675" ht="15.75" hidden="1" customHeight="1">
      <c r="A675" s="1" t="s">
        <v>1607</v>
      </c>
      <c r="B675" s="2">
        <v>555.0</v>
      </c>
      <c r="C675" s="1" t="s">
        <v>43</v>
      </c>
      <c r="D675" s="1" t="s">
        <v>1608</v>
      </c>
      <c r="E675" s="3">
        <v>45033.0</v>
      </c>
      <c r="F675" s="1" t="s">
        <v>3</v>
      </c>
      <c r="G675" s="4">
        <v>3.07043231E8</v>
      </c>
      <c r="H675" s="1" t="s">
        <v>1604</v>
      </c>
      <c r="I675" s="2"/>
      <c r="J675" s="1" t="s">
        <v>416</v>
      </c>
      <c r="K675" s="1">
        <v>1.0</v>
      </c>
      <c r="L675" s="1"/>
      <c r="M675" s="5">
        <v>175.04</v>
      </c>
    </row>
    <row r="676" ht="15.75" hidden="1" customHeight="1">
      <c r="A676" s="1" t="s">
        <v>1609</v>
      </c>
      <c r="B676" s="2">
        <v>562.0</v>
      </c>
      <c r="C676" s="1" t="s">
        <v>513</v>
      </c>
      <c r="D676" s="1" t="s">
        <v>1610</v>
      </c>
      <c r="E676" s="3">
        <v>45043.0</v>
      </c>
      <c r="F676" s="1" t="s">
        <v>3</v>
      </c>
      <c r="G676" s="4">
        <v>3.07043231E8</v>
      </c>
      <c r="H676" s="1" t="s">
        <v>1604</v>
      </c>
      <c r="I676" s="2"/>
      <c r="J676" s="1" t="s">
        <v>416</v>
      </c>
      <c r="K676" s="1">
        <v>20.0</v>
      </c>
      <c r="L676" s="1"/>
      <c r="M676" s="5">
        <v>158.42</v>
      </c>
    </row>
    <row r="677" ht="15.75" hidden="1" customHeight="1">
      <c r="A677" s="1" t="s">
        <v>1611</v>
      </c>
      <c r="B677" s="2">
        <v>572.0</v>
      </c>
      <c r="C677" s="1" t="s">
        <v>664</v>
      </c>
      <c r="D677" s="1" t="s">
        <v>1612</v>
      </c>
      <c r="E677" s="3">
        <v>45068.0</v>
      </c>
      <c r="F677" s="1" t="s">
        <v>3</v>
      </c>
      <c r="G677" s="4">
        <v>3.07043231E8</v>
      </c>
      <c r="H677" s="1" t="s">
        <v>1604</v>
      </c>
      <c r="I677" s="2"/>
      <c r="J677" s="1" t="s">
        <v>623</v>
      </c>
      <c r="K677" s="1">
        <v>5.0</v>
      </c>
      <c r="L677" s="1"/>
      <c r="M677" s="5">
        <v>168.25</v>
      </c>
    </row>
    <row r="678" ht="15.75" hidden="1" customHeight="1">
      <c r="A678" s="1" t="s">
        <v>1613</v>
      </c>
      <c r="B678" s="2">
        <v>575.0</v>
      </c>
      <c r="C678" s="1" t="s">
        <v>362</v>
      </c>
      <c r="D678" s="1" t="s">
        <v>1614</v>
      </c>
      <c r="E678" s="3">
        <v>45072.0</v>
      </c>
      <c r="F678" s="1" t="s">
        <v>3</v>
      </c>
      <c r="G678" s="4">
        <v>3.07043231E8</v>
      </c>
      <c r="H678" s="1" t="s">
        <v>1604</v>
      </c>
      <c r="I678" s="2"/>
      <c r="J678" s="1" t="s">
        <v>623</v>
      </c>
      <c r="K678" s="1">
        <v>10.0</v>
      </c>
      <c r="L678" s="1"/>
      <c r="M678" s="5">
        <v>125.66</v>
      </c>
    </row>
    <row r="679" ht="15.75" hidden="1" customHeight="1">
      <c r="A679" s="1" t="s">
        <v>1615</v>
      </c>
      <c r="B679" s="2">
        <v>576.0</v>
      </c>
      <c r="C679" s="1" t="s">
        <v>566</v>
      </c>
      <c r="D679" s="1" t="s">
        <v>1616</v>
      </c>
      <c r="E679" s="3">
        <v>45083.0</v>
      </c>
      <c r="F679" s="1" t="s">
        <v>3</v>
      </c>
      <c r="G679" s="4">
        <v>3.07043231E8</v>
      </c>
      <c r="H679" s="1" t="s">
        <v>1604</v>
      </c>
      <c r="I679" s="2"/>
      <c r="J679" s="1" t="s">
        <v>623</v>
      </c>
      <c r="K679" s="1">
        <v>5.0</v>
      </c>
      <c r="L679" s="1"/>
      <c r="M679" s="5">
        <v>162.12</v>
      </c>
    </row>
    <row r="680" ht="15.75" hidden="1" customHeight="1">
      <c r="A680" s="1" t="s">
        <v>1617</v>
      </c>
      <c r="B680" s="2">
        <v>578.0</v>
      </c>
      <c r="C680" s="1" t="s">
        <v>488</v>
      </c>
      <c r="D680" s="1" t="s">
        <v>1618</v>
      </c>
      <c r="E680" s="3">
        <v>45083.0</v>
      </c>
      <c r="F680" s="1" t="s">
        <v>3</v>
      </c>
      <c r="G680" s="4">
        <v>3.07043231E8</v>
      </c>
      <c r="H680" s="1" t="s">
        <v>1604</v>
      </c>
      <c r="I680" s="2"/>
      <c r="J680" s="1" t="s">
        <v>1619</v>
      </c>
      <c r="K680" s="1">
        <v>2.0</v>
      </c>
      <c r="L680" s="1"/>
      <c r="M680" s="5">
        <v>110.53</v>
      </c>
    </row>
    <row r="681" ht="15.75" hidden="1" customHeight="1">
      <c r="A681" s="1" t="s">
        <v>1620</v>
      </c>
      <c r="B681" s="2">
        <v>614.0</v>
      </c>
      <c r="C681" s="1" t="s">
        <v>449</v>
      </c>
      <c r="D681" s="1" t="s">
        <v>1621</v>
      </c>
      <c r="E681" s="1" t="s">
        <v>60</v>
      </c>
      <c r="F681" s="1" t="s">
        <v>3</v>
      </c>
      <c r="G681" s="4">
        <v>3.07043231E8</v>
      </c>
      <c r="H681" s="1" t="s">
        <v>1604</v>
      </c>
      <c r="I681" s="2"/>
      <c r="J681" s="1" t="s">
        <v>1619</v>
      </c>
      <c r="K681" s="1">
        <v>125.0</v>
      </c>
      <c r="L681" s="1"/>
      <c r="M681" s="5">
        <v>105.0</v>
      </c>
    </row>
    <row r="682" ht="15.75" hidden="1" customHeight="1">
      <c r="A682" s="1" t="s">
        <v>1622</v>
      </c>
      <c r="B682" s="2">
        <v>619.0</v>
      </c>
      <c r="C682" s="1" t="s">
        <v>362</v>
      </c>
      <c r="D682" s="1" t="s">
        <v>1623</v>
      </c>
      <c r="E682" s="1" t="s">
        <v>60</v>
      </c>
      <c r="F682" s="1" t="s">
        <v>3</v>
      </c>
      <c r="G682" s="4">
        <v>3.07043231E8</v>
      </c>
      <c r="H682" s="1" t="s">
        <v>1604</v>
      </c>
      <c r="I682" s="2"/>
      <c r="J682" s="1" t="s">
        <v>623</v>
      </c>
      <c r="K682" s="1">
        <v>10.0</v>
      </c>
      <c r="L682" s="1"/>
      <c r="M682" s="5">
        <v>125.66</v>
      </c>
    </row>
    <row r="683" ht="15.75" hidden="1" customHeight="1">
      <c r="A683" s="1" t="s">
        <v>1624</v>
      </c>
      <c r="B683" s="2">
        <v>622.0</v>
      </c>
      <c r="C683" s="1" t="s">
        <v>135</v>
      </c>
      <c r="D683" s="1" t="s">
        <v>1625</v>
      </c>
      <c r="E683" s="1" t="s">
        <v>60</v>
      </c>
      <c r="F683" s="1" t="s">
        <v>3</v>
      </c>
      <c r="G683" s="4">
        <v>3.07043231E8</v>
      </c>
      <c r="H683" s="1" t="s">
        <v>1604</v>
      </c>
      <c r="I683" s="2"/>
      <c r="J683" s="1" t="s">
        <v>623</v>
      </c>
      <c r="K683" s="1">
        <v>25.0</v>
      </c>
      <c r="L683" s="1"/>
      <c r="M683" s="5">
        <v>134.88</v>
      </c>
    </row>
    <row r="684" ht="15.75" hidden="1" customHeight="1">
      <c r="A684" s="1" t="s">
        <v>1626</v>
      </c>
      <c r="B684" s="2">
        <v>657.0</v>
      </c>
      <c r="C684" s="1" t="s">
        <v>929</v>
      </c>
      <c r="D684" s="1" t="s">
        <v>1627</v>
      </c>
      <c r="E684" s="3">
        <v>45132.0</v>
      </c>
      <c r="F684" s="1" t="s">
        <v>3</v>
      </c>
      <c r="G684" s="4">
        <v>3.07043231E8</v>
      </c>
      <c r="H684" s="1" t="s">
        <v>1604</v>
      </c>
      <c r="I684" s="2"/>
      <c r="J684" s="1" t="s">
        <v>1619</v>
      </c>
      <c r="K684" s="1">
        <v>15.0</v>
      </c>
      <c r="L684" s="1"/>
      <c r="M684" s="5">
        <v>155.0</v>
      </c>
    </row>
    <row r="685" ht="15.75" hidden="1" customHeight="1">
      <c r="A685" s="1" t="s">
        <v>1628</v>
      </c>
      <c r="B685" s="2">
        <v>661.0</v>
      </c>
      <c r="C685" s="1" t="s">
        <v>135</v>
      </c>
      <c r="D685" s="1" t="s">
        <v>1629</v>
      </c>
      <c r="E685" s="3">
        <v>45142.0</v>
      </c>
      <c r="F685" s="1" t="s">
        <v>3</v>
      </c>
      <c r="G685" s="4">
        <v>3.07043231E8</v>
      </c>
      <c r="H685" s="1" t="s">
        <v>1604</v>
      </c>
      <c r="I685" s="2"/>
      <c r="J685" s="1" t="s">
        <v>1619</v>
      </c>
      <c r="K685" s="1">
        <v>25.0</v>
      </c>
      <c r="L685" s="1"/>
      <c r="M685" s="5">
        <v>134.88</v>
      </c>
    </row>
    <row r="686" ht="15.75" hidden="1" customHeight="1">
      <c r="A686" s="1" t="s">
        <v>1630</v>
      </c>
      <c r="B686" s="2">
        <v>536.0</v>
      </c>
      <c r="C686" s="1" t="s">
        <v>11</v>
      </c>
      <c r="D686" s="1" t="s">
        <v>1631</v>
      </c>
      <c r="E686" s="3">
        <v>45009.0</v>
      </c>
      <c r="F686" s="1" t="s">
        <v>3</v>
      </c>
      <c r="G686" s="4">
        <v>3.07056231E8</v>
      </c>
      <c r="H686" s="1" t="s">
        <v>1632</v>
      </c>
      <c r="I686" s="2"/>
      <c r="J686" s="1" t="s">
        <v>1633</v>
      </c>
      <c r="K686" s="1">
        <v>50.0</v>
      </c>
      <c r="L686" s="1"/>
      <c r="M686" s="5">
        <v>102.0</v>
      </c>
    </row>
    <row r="687" ht="15.75" hidden="1" customHeight="1">
      <c r="A687" s="1" t="s">
        <v>1634</v>
      </c>
      <c r="B687" s="2">
        <v>538.0</v>
      </c>
      <c r="C687" s="1" t="s">
        <v>55</v>
      </c>
      <c r="D687" s="1" t="s">
        <v>1635</v>
      </c>
      <c r="E687" s="3">
        <v>45009.0</v>
      </c>
      <c r="F687" s="1" t="s">
        <v>3</v>
      </c>
      <c r="G687" s="4">
        <v>3.07058231E8</v>
      </c>
      <c r="H687" s="1" t="s">
        <v>1636</v>
      </c>
      <c r="I687" s="2"/>
      <c r="J687" s="1" t="s">
        <v>1619</v>
      </c>
      <c r="K687" s="1">
        <v>100.0</v>
      </c>
      <c r="L687" s="1"/>
      <c r="M687" s="5">
        <v>96.77</v>
      </c>
    </row>
    <row r="688" ht="15.75" hidden="1" customHeight="1">
      <c r="A688" s="1" t="s">
        <v>1637</v>
      </c>
      <c r="B688" s="2">
        <v>549.0</v>
      </c>
      <c r="C688" s="1" t="s">
        <v>107</v>
      </c>
      <c r="D688" s="1" t="s">
        <v>1638</v>
      </c>
      <c r="E688" s="3">
        <v>45027.0</v>
      </c>
      <c r="F688" s="1" t="s">
        <v>3</v>
      </c>
      <c r="G688" s="4">
        <v>3.07062231E8</v>
      </c>
      <c r="H688" s="1" t="s">
        <v>1639</v>
      </c>
      <c r="I688" s="2"/>
      <c r="J688" s="1" t="s">
        <v>623</v>
      </c>
      <c r="K688" s="1">
        <v>500.0</v>
      </c>
      <c r="L688" s="1"/>
      <c r="M688" s="5">
        <v>88.88</v>
      </c>
    </row>
    <row r="689" ht="15.75" hidden="1" customHeight="1">
      <c r="A689" s="1" t="s">
        <v>1640</v>
      </c>
      <c r="B689" s="2">
        <v>611.0</v>
      </c>
      <c r="C689" s="1" t="s">
        <v>107</v>
      </c>
      <c r="D689" s="1" t="s">
        <v>1641</v>
      </c>
      <c r="E689" s="1" t="s">
        <v>60</v>
      </c>
      <c r="F689" s="1" t="s">
        <v>3</v>
      </c>
      <c r="G689" s="4">
        <v>3.07062231E8</v>
      </c>
      <c r="H689" s="1" t="s">
        <v>1639</v>
      </c>
      <c r="I689" s="2"/>
      <c r="J689" s="1" t="s">
        <v>623</v>
      </c>
      <c r="K689" s="1">
        <v>500.0</v>
      </c>
      <c r="L689" s="1"/>
      <c r="M689" s="5">
        <v>88.88</v>
      </c>
    </row>
    <row r="690" ht="15.75" hidden="1" customHeight="1">
      <c r="A690" s="1" t="s">
        <v>1642</v>
      </c>
      <c r="B690" s="2">
        <v>561.0</v>
      </c>
      <c r="C690" s="1" t="s">
        <v>449</v>
      </c>
      <c r="D690" s="1" t="s">
        <v>1643</v>
      </c>
      <c r="E690" s="3">
        <v>45043.0</v>
      </c>
      <c r="F690" s="1" t="s">
        <v>3</v>
      </c>
      <c r="G690" s="4">
        <v>3.07063231E8</v>
      </c>
      <c r="H690" s="1" t="s">
        <v>1644</v>
      </c>
      <c r="I690" s="2"/>
      <c r="J690" s="1" t="s">
        <v>1619</v>
      </c>
      <c r="K690" s="1">
        <v>125.0</v>
      </c>
      <c r="L690" s="1"/>
      <c r="M690" s="5">
        <v>105.0</v>
      </c>
    </row>
    <row r="691" ht="15.75" hidden="1" customHeight="1">
      <c r="A691" s="1" t="s">
        <v>1645</v>
      </c>
      <c r="B691" s="2">
        <v>573.0</v>
      </c>
      <c r="C691" s="1" t="s">
        <v>449</v>
      </c>
      <c r="D691" s="1" t="s">
        <v>1646</v>
      </c>
      <c r="E691" s="3">
        <v>45070.0</v>
      </c>
      <c r="F691" s="1" t="s">
        <v>3</v>
      </c>
      <c r="G691" s="4">
        <v>3.07063231E8</v>
      </c>
      <c r="H691" s="1" t="s">
        <v>1644</v>
      </c>
      <c r="I691" s="2"/>
      <c r="J691" s="1" t="s">
        <v>1619</v>
      </c>
      <c r="K691" s="1">
        <v>125.0</v>
      </c>
      <c r="L691" s="1"/>
      <c r="M691" s="5">
        <v>105.0</v>
      </c>
    </row>
    <row r="692" ht="15.75" hidden="1" customHeight="1">
      <c r="A692" s="1" t="s">
        <v>1647</v>
      </c>
      <c r="B692" s="2">
        <v>552.0</v>
      </c>
      <c r="C692" s="1" t="s">
        <v>39</v>
      </c>
      <c r="D692" s="1" t="s">
        <v>1648</v>
      </c>
      <c r="E692" s="3">
        <v>45033.0</v>
      </c>
      <c r="F692" s="1" t="s">
        <v>3</v>
      </c>
      <c r="G692" s="4">
        <v>3.08064231E8</v>
      </c>
      <c r="H692" s="1" t="s">
        <v>1649</v>
      </c>
      <c r="I692" s="2"/>
      <c r="J692" s="1" t="s">
        <v>1619</v>
      </c>
      <c r="K692" s="1">
        <v>1404.0</v>
      </c>
      <c r="L692" s="1"/>
      <c r="M692" s="5">
        <v>49.28</v>
      </c>
    </row>
    <row r="693" ht="15.75" hidden="1" customHeight="1">
      <c r="A693" s="1" t="s">
        <v>1650</v>
      </c>
      <c r="B693" s="2">
        <v>612.0</v>
      </c>
      <c r="C693" s="1" t="s">
        <v>39</v>
      </c>
      <c r="D693" s="1" t="s">
        <v>1651</v>
      </c>
      <c r="E693" s="1" t="s">
        <v>60</v>
      </c>
      <c r="F693" s="1" t="s">
        <v>3</v>
      </c>
      <c r="G693" s="4">
        <v>3.08064231E8</v>
      </c>
      <c r="H693" s="1" t="s">
        <v>1649</v>
      </c>
      <c r="I693" s="2"/>
      <c r="J693" s="1" t="s">
        <v>1619</v>
      </c>
      <c r="K693" s="1">
        <v>1404.0</v>
      </c>
      <c r="L693" s="1"/>
      <c r="M693" s="5">
        <v>49.28</v>
      </c>
    </row>
    <row r="694" ht="15.75" hidden="1" customHeight="1">
      <c r="A694" s="1" t="s">
        <v>1652</v>
      </c>
      <c r="B694" s="2">
        <v>709.0</v>
      </c>
      <c r="C694" s="1" t="s">
        <v>1264</v>
      </c>
      <c r="D694" s="1" t="s">
        <v>1653</v>
      </c>
      <c r="E694" s="3">
        <v>45224.0</v>
      </c>
      <c r="F694" s="1" t="s">
        <v>3</v>
      </c>
      <c r="G694" s="4">
        <v>3.08121231E8</v>
      </c>
      <c r="H694" s="1" t="s">
        <v>1654</v>
      </c>
      <c r="I694" s="2"/>
      <c r="J694" s="1" t="s">
        <v>1619</v>
      </c>
      <c r="K694" s="1">
        <v>220.0</v>
      </c>
      <c r="L694" s="1"/>
      <c r="M694" s="5">
        <v>115.96</v>
      </c>
    </row>
    <row r="695" ht="15.75" hidden="1" customHeight="1">
      <c r="A695" s="1" t="s">
        <v>1655</v>
      </c>
      <c r="B695" s="2">
        <v>756.0</v>
      </c>
      <c r="C695" s="1" t="s">
        <v>1264</v>
      </c>
      <c r="D695" s="1" t="s">
        <v>1656</v>
      </c>
      <c r="E695" s="3">
        <v>45306.0</v>
      </c>
      <c r="F695" s="1" t="s">
        <v>3</v>
      </c>
      <c r="G695" s="4">
        <v>3.08187231E8</v>
      </c>
      <c r="H695" s="1" t="s">
        <v>1657</v>
      </c>
      <c r="I695" s="2"/>
      <c r="J695" s="1" t="s">
        <v>1619</v>
      </c>
      <c r="K695" s="1">
        <v>300.0</v>
      </c>
      <c r="L695" s="1"/>
      <c r="M695" s="5">
        <v>117.95</v>
      </c>
    </row>
    <row r="696" ht="15.75" hidden="1" customHeight="1">
      <c r="A696" s="1" t="s">
        <v>1655</v>
      </c>
      <c r="B696" s="2">
        <v>756.0</v>
      </c>
      <c r="C696" s="1" t="s">
        <v>1264</v>
      </c>
      <c r="D696" s="1" t="s">
        <v>1656</v>
      </c>
      <c r="E696" s="3">
        <v>45306.0</v>
      </c>
      <c r="F696" s="1" t="s">
        <v>3</v>
      </c>
      <c r="G696" s="4">
        <v>3.08187231E8</v>
      </c>
      <c r="H696" s="1" t="s">
        <v>1657</v>
      </c>
      <c r="I696" s="2"/>
      <c r="J696" s="1" t="s">
        <v>1619</v>
      </c>
      <c r="K696" s="1">
        <v>10.0</v>
      </c>
      <c r="L696" s="1"/>
      <c r="M696" s="5">
        <v>123.08</v>
      </c>
    </row>
    <row r="697" ht="15.75" hidden="1" customHeight="1">
      <c r="A697" s="1" t="s">
        <v>1658</v>
      </c>
      <c r="B697" s="2">
        <v>560.0</v>
      </c>
      <c r="C697" s="1" t="s">
        <v>426</v>
      </c>
      <c r="D697" s="1" t="s">
        <v>1659</v>
      </c>
      <c r="E697" s="3">
        <v>45043.0</v>
      </c>
      <c r="F697" s="1" t="s">
        <v>3</v>
      </c>
      <c r="G697" s="4">
        <v>3.23072231E8</v>
      </c>
      <c r="H697" s="1" t="s">
        <v>1660</v>
      </c>
      <c r="I697" s="2"/>
      <c r="J697" s="1" t="s">
        <v>1661</v>
      </c>
      <c r="K697" s="1">
        <v>720.0</v>
      </c>
      <c r="L697" s="1"/>
      <c r="M697" s="5">
        <v>37.0</v>
      </c>
    </row>
    <row r="698" ht="15.75" hidden="1" customHeight="1">
      <c r="A698" s="1" t="s">
        <v>1662</v>
      </c>
      <c r="B698" s="2">
        <v>588.0</v>
      </c>
      <c r="C698" s="1" t="s">
        <v>1663</v>
      </c>
      <c r="D698" s="1" t="s">
        <v>1664</v>
      </c>
      <c r="E698" s="3">
        <v>45098.0</v>
      </c>
      <c r="F698" s="1" t="s">
        <v>3</v>
      </c>
      <c r="G698" s="4">
        <v>3.23087231E8</v>
      </c>
      <c r="H698" s="1" t="s">
        <v>1665</v>
      </c>
      <c r="I698" s="2"/>
      <c r="J698" s="1" t="s">
        <v>1661</v>
      </c>
      <c r="K698" s="1">
        <v>250.0</v>
      </c>
      <c r="L698" s="1"/>
      <c r="M698" s="5">
        <v>109.56</v>
      </c>
    </row>
    <row r="699" ht="15.75" hidden="1" customHeight="1">
      <c r="A699" s="1" t="s">
        <v>1666</v>
      </c>
      <c r="B699" s="2">
        <v>628.0</v>
      </c>
      <c r="C699" s="1" t="s">
        <v>27</v>
      </c>
      <c r="D699" s="1" t="s">
        <v>1667</v>
      </c>
      <c r="E699" s="3">
        <v>45119.0</v>
      </c>
      <c r="F699" s="1" t="s">
        <v>3</v>
      </c>
      <c r="G699" s="4">
        <v>3.26104231E8</v>
      </c>
      <c r="H699" s="1" t="s">
        <v>1668</v>
      </c>
      <c r="I699" s="2"/>
      <c r="J699" s="1" t="s">
        <v>1661</v>
      </c>
      <c r="K699" s="1">
        <v>20.0</v>
      </c>
      <c r="L699" s="1"/>
      <c r="M699" s="5">
        <v>130.43</v>
      </c>
    </row>
    <row r="700" ht="15.75" hidden="1" customHeight="1">
      <c r="A700" s="1" t="s">
        <v>1669</v>
      </c>
      <c r="B700" s="2">
        <v>713.0</v>
      </c>
      <c r="C700" s="1" t="s">
        <v>1264</v>
      </c>
      <c r="D700" s="1" t="s">
        <v>1670</v>
      </c>
      <c r="E700" s="3">
        <v>45252.0</v>
      </c>
      <c r="F700" s="1" t="s">
        <v>3</v>
      </c>
      <c r="G700" s="4">
        <v>3.26146231E8</v>
      </c>
      <c r="H700" s="1" t="s">
        <v>1671</v>
      </c>
      <c r="I700" s="2"/>
      <c r="J700" s="1" t="s">
        <v>1661</v>
      </c>
      <c r="K700" s="1">
        <v>25.0</v>
      </c>
      <c r="L700" s="1"/>
      <c r="M700" s="5">
        <v>131.9</v>
      </c>
    </row>
    <row r="701" ht="15.75" hidden="1" customHeight="1">
      <c r="A701" s="1" t="s">
        <v>1655</v>
      </c>
      <c r="B701" s="2">
        <v>756.0</v>
      </c>
      <c r="C701" s="1" t="s">
        <v>1264</v>
      </c>
      <c r="D701" s="1" t="s">
        <v>1656</v>
      </c>
      <c r="E701" s="3">
        <v>45306.0</v>
      </c>
      <c r="F701" s="1" t="s">
        <v>3</v>
      </c>
      <c r="G701" s="4">
        <v>3.26184231E8</v>
      </c>
      <c r="H701" s="1" t="s">
        <v>1672</v>
      </c>
      <c r="I701" s="2"/>
      <c r="J701" s="1" t="s">
        <v>1661</v>
      </c>
      <c r="K701" s="1">
        <v>20.0</v>
      </c>
      <c r="L701" s="1"/>
      <c r="M701" s="5">
        <v>116.53</v>
      </c>
    </row>
    <row r="702" ht="15.75" hidden="1" customHeight="1">
      <c r="A702" s="1" t="s">
        <v>1673</v>
      </c>
      <c r="B702" s="2">
        <v>767.0</v>
      </c>
      <c r="C702" s="1" t="s">
        <v>1264</v>
      </c>
      <c r="D702" s="1" t="s">
        <v>1674</v>
      </c>
      <c r="E702" s="3">
        <v>45322.0</v>
      </c>
      <c r="F702" s="1" t="s">
        <v>3</v>
      </c>
      <c r="G702" s="4">
        <v>3.26184231E8</v>
      </c>
      <c r="H702" s="1" t="s">
        <v>1672</v>
      </c>
      <c r="I702" s="2"/>
      <c r="J702" s="1" t="s">
        <v>1661</v>
      </c>
      <c r="K702" s="1">
        <v>20.0</v>
      </c>
      <c r="L702" s="1"/>
      <c r="M702" s="5">
        <v>134.1</v>
      </c>
    </row>
    <row r="703" ht="15.75" hidden="1" customHeight="1">
      <c r="A703" s="1" t="s">
        <v>1675</v>
      </c>
      <c r="B703" s="2">
        <v>553.0</v>
      </c>
      <c r="C703" s="1" t="s">
        <v>27</v>
      </c>
      <c r="D703" s="1" t="s">
        <v>1676</v>
      </c>
      <c r="E703" s="3">
        <v>45033.0</v>
      </c>
      <c r="F703" s="1" t="s">
        <v>3</v>
      </c>
      <c r="G703" s="4">
        <v>3.28065231E8</v>
      </c>
      <c r="H703" s="1" t="s">
        <v>1677</v>
      </c>
      <c r="I703" s="2"/>
      <c r="J703" s="1" t="s">
        <v>1270</v>
      </c>
      <c r="K703" s="1">
        <v>2000.0</v>
      </c>
      <c r="L703" s="1"/>
      <c r="M703" s="5">
        <v>123.11</v>
      </c>
    </row>
    <row r="704" ht="15.75" hidden="1" customHeight="1">
      <c r="A704" s="1" t="s">
        <v>1678</v>
      </c>
      <c r="B704" s="2">
        <v>613.0</v>
      </c>
      <c r="C704" s="1" t="s">
        <v>27</v>
      </c>
      <c r="D704" s="1" t="s">
        <v>1679</v>
      </c>
      <c r="E704" s="1" t="s">
        <v>60</v>
      </c>
      <c r="F704" s="1" t="s">
        <v>3</v>
      </c>
      <c r="G704" s="4">
        <v>3.28065231E8</v>
      </c>
      <c r="H704" s="1" t="s">
        <v>1677</v>
      </c>
      <c r="I704" s="2"/>
      <c r="J704" s="1" t="s">
        <v>1270</v>
      </c>
      <c r="K704" s="1">
        <v>2000.0</v>
      </c>
      <c r="L704" s="1"/>
      <c r="M704" s="5">
        <v>123.11</v>
      </c>
    </row>
    <row r="705" ht="15.75" hidden="1" customHeight="1">
      <c r="A705" s="1" t="s">
        <v>1680</v>
      </c>
      <c r="B705" s="2">
        <v>656.0</v>
      </c>
      <c r="C705" s="1" t="s">
        <v>422</v>
      </c>
      <c r="D705" s="1" t="s">
        <v>1681</v>
      </c>
      <c r="E705" s="3">
        <v>45132.0</v>
      </c>
      <c r="F705" s="1" t="s">
        <v>3</v>
      </c>
      <c r="G705" s="4">
        <v>3.34081231E8</v>
      </c>
      <c r="H705" s="1" t="s">
        <v>1682</v>
      </c>
      <c r="I705" s="2"/>
      <c r="J705" s="1" t="s">
        <v>1661</v>
      </c>
      <c r="K705" s="1">
        <v>1800.0</v>
      </c>
      <c r="L705" s="1"/>
      <c r="M705" s="5">
        <v>104.0</v>
      </c>
    </row>
    <row r="706" ht="15.75" hidden="1" customHeight="1">
      <c r="A706" s="1" t="s">
        <v>1683</v>
      </c>
      <c r="B706" s="2">
        <v>727.0</v>
      </c>
      <c r="C706" s="1" t="s">
        <v>748</v>
      </c>
      <c r="D706" s="1" t="s">
        <v>1684</v>
      </c>
      <c r="E706" s="3">
        <v>45279.0</v>
      </c>
      <c r="F706" s="1" t="s">
        <v>3</v>
      </c>
      <c r="G706" s="4">
        <v>4.01148231E8</v>
      </c>
      <c r="H706" s="1" t="s">
        <v>1685</v>
      </c>
      <c r="I706" s="2"/>
      <c r="J706" s="1" t="s">
        <v>1686</v>
      </c>
      <c r="K706" s="1">
        <v>22.0</v>
      </c>
      <c r="L706" s="1"/>
      <c r="M706" s="5">
        <v>172.24</v>
      </c>
    </row>
    <row r="707" ht="15.75" hidden="1" customHeight="1">
      <c r="A707" s="1" t="s">
        <v>1687</v>
      </c>
      <c r="B707" s="2">
        <v>820.0</v>
      </c>
      <c r="C707" s="1" t="s">
        <v>748</v>
      </c>
      <c r="D707" s="1" t="s">
        <v>1688</v>
      </c>
      <c r="E707" s="3">
        <v>45390.0</v>
      </c>
      <c r="F707" s="1" t="s">
        <v>3</v>
      </c>
      <c r="G707" s="4">
        <v>4.02073241E8</v>
      </c>
      <c r="H707" s="1" t="s">
        <v>1689</v>
      </c>
      <c r="I707" s="2"/>
      <c r="J707" s="1" t="s">
        <v>1686</v>
      </c>
      <c r="K707" s="1">
        <v>26.0</v>
      </c>
      <c r="L707" s="1"/>
      <c r="M707" s="5">
        <v>172.24</v>
      </c>
    </row>
    <row r="708" ht="15.75" hidden="1" customHeight="1">
      <c r="A708" s="1" t="s">
        <v>1673</v>
      </c>
      <c r="B708" s="2">
        <v>767.0</v>
      </c>
      <c r="C708" s="1" t="s">
        <v>1264</v>
      </c>
      <c r="D708" s="1" t="s">
        <v>1674</v>
      </c>
      <c r="E708" s="3">
        <v>45322.0</v>
      </c>
      <c r="F708" s="1" t="s">
        <v>3</v>
      </c>
      <c r="G708" s="4">
        <v>4.34046231E8</v>
      </c>
      <c r="H708" s="1" t="s">
        <v>1690</v>
      </c>
      <c r="I708" s="2"/>
      <c r="J708" s="1" t="s">
        <v>1691</v>
      </c>
      <c r="K708" s="1">
        <v>5.0</v>
      </c>
      <c r="L708" s="1"/>
      <c r="M708" s="5">
        <v>198.66</v>
      </c>
    </row>
    <row r="709" ht="15.75" hidden="1" customHeight="1">
      <c r="A709" s="1" t="s">
        <v>1319</v>
      </c>
      <c r="B709" s="2">
        <v>525.0</v>
      </c>
      <c r="C709" s="1" t="s">
        <v>27</v>
      </c>
      <c r="D709" s="1" t="s">
        <v>1320</v>
      </c>
      <c r="E709" s="3">
        <v>44985.0</v>
      </c>
      <c r="F709" s="1" t="s">
        <v>3</v>
      </c>
      <c r="G709" s="4">
        <v>4.66025231E8</v>
      </c>
      <c r="H709" s="1" t="s">
        <v>1692</v>
      </c>
      <c r="I709" s="2"/>
      <c r="J709" s="1" t="s">
        <v>896</v>
      </c>
      <c r="K709" s="1">
        <v>25.0</v>
      </c>
      <c r="L709" s="1"/>
      <c r="M709" s="5">
        <v>257.07</v>
      </c>
    </row>
    <row r="710" ht="15.75" hidden="1" customHeight="1">
      <c r="A710" s="1" t="s">
        <v>1675</v>
      </c>
      <c r="B710" s="2">
        <v>553.0</v>
      </c>
      <c r="C710" s="1" t="s">
        <v>27</v>
      </c>
      <c r="D710" s="1" t="s">
        <v>1676</v>
      </c>
      <c r="E710" s="3">
        <v>45033.0</v>
      </c>
      <c r="F710" s="1" t="s">
        <v>3</v>
      </c>
      <c r="G710" s="4">
        <v>4.66047231E8</v>
      </c>
      <c r="H710" s="1" t="s">
        <v>1693</v>
      </c>
      <c r="I710" s="2"/>
      <c r="J710" s="1" t="s">
        <v>896</v>
      </c>
      <c r="K710" s="1">
        <v>25.0</v>
      </c>
      <c r="L710" s="1"/>
      <c r="M710" s="5">
        <v>237.94</v>
      </c>
    </row>
    <row r="711" ht="15.75" hidden="1" customHeight="1">
      <c r="A711" s="1" t="s">
        <v>1678</v>
      </c>
      <c r="B711" s="2">
        <v>613.0</v>
      </c>
      <c r="C711" s="1" t="s">
        <v>27</v>
      </c>
      <c r="D711" s="1" t="s">
        <v>1679</v>
      </c>
      <c r="E711" s="1" t="s">
        <v>60</v>
      </c>
      <c r="F711" s="1" t="s">
        <v>3</v>
      </c>
      <c r="G711" s="4">
        <v>4.66047231E8</v>
      </c>
      <c r="H711" s="1" t="s">
        <v>1693</v>
      </c>
      <c r="I711" s="2"/>
      <c r="J711" s="1" t="s">
        <v>896</v>
      </c>
      <c r="K711" s="1">
        <v>25.0</v>
      </c>
      <c r="L711" s="1"/>
      <c r="M711" s="5">
        <v>237.94</v>
      </c>
    </row>
    <row r="712" ht="15.75" hidden="1" customHeight="1">
      <c r="A712" s="1" t="s">
        <v>1430</v>
      </c>
      <c r="B712" s="2">
        <v>1032.0</v>
      </c>
      <c r="C712" s="1" t="s">
        <v>1264</v>
      </c>
      <c r="D712" s="1" t="s">
        <v>1431</v>
      </c>
      <c r="E712" s="3">
        <v>45736.0</v>
      </c>
      <c r="F712" s="1" t="s">
        <v>3</v>
      </c>
      <c r="G712" s="4">
        <v>4.66048251E8</v>
      </c>
      <c r="H712" s="1" t="s">
        <v>1694</v>
      </c>
      <c r="I712" s="2"/>
      <c r="J712" s="1" t="s">
        <v>1695</v>
      </c>
      <c r="K712" s="1">
        <v>75.0</v>
      </c>
      <c r="L712" s="1"/>
      <c r="M712" s="5">
        <v>272.1</v>
      </c>
    </row>
    <row r="713" ht="15.75" hidden="1" customHeight="1">
      <c r="A713" s="1" t="s">
        <v>1696</v>
      </c>
      <c r="B713" s="2">
        <v>1048.0</v>
      </c>
      <c r="C713" s="1" t="s">
        <v>1264</v>
      </c>
      <c r="D713" s="1" t="s">
        <v>1697</v>
      </c>
      <c r="E713" s="3">
        <v>45743.0</v>
      </c>
      <c r="F713" s="1" t="s">
        <v>3</v>
      </c>
      <c r="G713" s="4">
        <v>4.66063251E8</v>
      </c>
      <c r="H713" s="1" t="s">
        <v>1698</v>
      </c>
      <c r="I713" s="2"/>
      <c r="J713" s="1" t="s">
        <v>1695</v>
      </c>
      <c r="K713" s="1">
        <v>50.0</v>
      </c>
      <c r="L713" s="1"/>
      <c r="M713" s="5">
        <v>272.1</v>
      </c>
    </row>
    <row r="714" ht="15.75" hidden="1" customHeight="1">
      <c r="A714" s="1" t="s">
        <v>1699</v>
      </c>
      <c r="B714" s="2">
        <v>1116.0</v>
      </c>
      <c r="C714" s="1" t="s">
        <v>1264</v>
      </c>
      <c r="D714" s="1" t="s">
        <v>1700</v>
      </c>
      <c r="E714" s="3">
        <v>45875.0</v>
      </c>
      <c r="F714" s="1" t="s">
        <v>3</v>
      </c>
      <c r="G714" s="4">
        <v>4.66070251E8</v>
      </c>
      <c r="H714" s="1" t="s">
        <v>1701</v>
      </c>
      <c r="I714" s="2"/>
      <c r="J714" s="1" t="s">
        <v>1695</v>
      </c>
      <c r="K714" s="1">
        <v>25.0</v>
      </c>
      <c r="L714" s="1"/>
      <c r="M714" s="5">
        <v>272.1</v>
      </c>
    </row>
    <row r="715" ht="15.75" hidden="1" customHeight="1">
      <c r="A715" s="1" t="s">
        <v>1702</v>
      </c>
      <c r="B715" s="2">
        <v>878.0</v>
      </c>
      <c r="C715" s="1" t="s">
        <v>1264</v>
      </c>
      <c r="D715" s="1" t="s">
        <v>1703</v>
      </c>
      <c r="E715" s="3">
        <v>45492.0</v>
      </c>
      <c r="F715" s="1" t="s">
        <v>3</v>
      </c>
      <c r="G715" s="4">
        <v>4.66146241E8</v>
      </c>
      <c r="H715" s="1" t="s">
        <v>1704</v>
      </c>
      <c r="I715" s="2"/>
      <c r="J715" s="1" t="s">
        <v>1695</v>
      </c>
      <c r="K715" s="1">
        <v>3.0</v>
      </c>
      <c r="L715" s="1"/>
      <c r="M715" s="5">
        <v>344.02</v>
      </c>
    </row>
    <row r="716" ht="15.75" hidden="1" customHeight="1">
      <c r="A716" s="1" t="s">
        <v>1669</v>
      </c>
      <c r="B716" s="2">
        <v>713.0</v>
      </c>
      <c r="C716" s="1" t="s">
        <v>1264</v>
      </c>
      <c r="D716" s="1" t="s">
        <v>1670</v>
      </c>
      <c r="E716" s="3">
        <v>45252.0</v>
      </c>
      <c r="F716" s="1" t="s">
        <v>3</v>
      </c>
      <c r="G716" s="4">
        <v>4.66149231E8</v>
      </c>
      <c r="H716" s="1" t="s">
        <v>1705</v>
      </c>
      <c r="I716" s="2"/>
      <c r="J716" s="1" t="s">
        <v>1695</v>
      </c>
      <c r="K716" s="1">
        <v>25.0</v>
      </c>
      <c r="L716" s="1"/>
      <c r="M716" s="5">
        <v>266.02</v>
      </c>
    </row>
    <row r="717" ht="15.75" hidden="1" customHeight="1">
      <c r="A717" s="1" t="s">
        <v>1706</v>
      </c>
      <c r="B717" s="2">
        <v>731.0</v>
      </c>
      <c r="C717" s="1" t="s">
        <v>1264</v>
      </c>
      <c r="D717" s="1" t="s">
        <v>1707</v>
      </c>
      <c r="E717" s="3">
        <v>45279.0</v>
      </c>
      <c r="F717" s="1" t="s">
        <v>3</v>
      </c>
      <c r="G717" s="4">
        <v>4.66149231E8</v>
      </c>
      <c r="H717" s="1" t="s">
        <v>1705</v>
      </c>
      <c r="I717" s="2"/>
      <c r="J717" s="1" t="s">
        <v>1695</v>
      </c>
      <c r="K717" s="1">
        <v>25.0</v>
      </c>
      <c r="L717" s="1"/>
      <c r="M717" s="5">
        <v>266.02</v>
      </c>
    </row>
    <row r="718" ht="15.75" hidden="1" customHeight="1">
      <c r="A718" s="1" t="s">
        <v>1708</v>
      </c>
      <c r="B718" s="2">
        <v>1143.0</v>
      </c>
      <c r="C718" s="1" t="s">
        <v>1264</v>
      </c>
      <c r="D718" s="1" t="s">
        <v>1709</v>
      </c>
      <c r="E718" s="3">
        <v>45911.0</v>
      </c>
      <c r="F718" s="1" t="s">
        <v>3</v>
      </c>
      <c r="G718" s="4">
        <v>4.66174251E8</v>
      </c>
      <c r="H718" s="1" t="s">
        <v>1710</v>
      </c>
      <c r="I718" s="2"/>
      <c r="J718" s="1" t="s">
        <v>1695</v>
      </c>
      <c r="K718" s="1">
        <v>22.0</v>
      </c>
      <c r="L718" s="1"/>
      <c r="M718" s="5">
        <v>272.1</v>
      </c>
    </row>
    <row r="719" ht="15.75" hidden="1" customHeight="1">
      <c r="A719" s="1" t="s">
        <v>1711</v>
      </c>
      <c r="B719" s="2">
        <v>987.0</v>
      </c>
      <c r="C719" s="1" t="s">
        <v>1264</v>
      </c>
      <c r="D719" s="1" t="s">
        <v>1712</v>
      </c>
      <c r="E719" s="3">
        <v>45688.0</v>
      </c>
      <c r="F719" s="1" t="s">
        <v>3</v>
      </c>
      <c r="G719" s="4">
        <v>4.66254241E8</v>
      </c>
      <c r="H719" s="1" t="s">
        <v>1713</v>
      </c>
      <c r="I719" s="2"/>
      <c r="J719" s="1" t="s">
        <v>1695</v>
      </c>
      <c r="K719" s="1">
        <v>25.0</v>
      </c>
      <c r="L719" s="1"/>
      <c r="M719" s="5">
        <v>272.1</v>
      </c>
    </row>
    <row r="720" ht="15.75" hidden="1" customHeight="1">
      <c r="A720" s="1" t="s">
        <v>1573</v>
      </c>
      <c r="B720" s="2">
        <v>1013.0</v>
      </c>
      <c r="C720" s="1" t="s">
        <v>1264</v>
      </c>
      <c r="D720" s="1" t="s">
        <v>1574</v>
      </c>
      <c r="E720" s="3">
        <v>45708.0</v>
      </c>
      <c r="F720" s="1" t="s">
        <v>3</v>
      </c>
      <c r="G720" s="4">
        <v>4.66256241E8</v>
      </c>
      <c r="H720" s="1" t="s">
        <v>1714</v>
      </c>
      <c r="I720" s="2"/>
      <c r="J720" s="1" t="s">
        <v>1695</v>
      </c>
      <c r="K720" s="1">
        <v>75.0</v>
      </c>
      <c r="L720" s="1"/>
      <c r="M720" s="5">
        <v>252.89</v>
      </c>
    </row>
    <row r="721" ht="15.75" hidden="1" customHeight="1">
      <c r="A721" s="1" t="s">
        <v>1576</v>
      </c>
      <c r="B721" s="2">
        <v>1021.0</v>
      </c>
      <c r="C721" s="1" t="s">
        <v>1264</v>
      </c>
      <c r="D721" s="1" t="s">
        <v>1577</v>
      </c>
      <c r="E721" s="3">
        <v>45708.0</v>
      </c>
      <c r="F721" s="1" t="s">
        <v>3</v>
      </c>
      <c r="G721" s="4">
        <v>4.66256241E8</v>
      </c>
      <c r="H721" s="1" t="s">
        <v>1714</v>
      </c>
      <c r="I721" s="2"/>
      <c r="J721" s="1" t="s">
        <v>1695</v>
      </c>
      <c r="K721" s="1">
        <v>75.0</v>
      </c>
      <c r="L721" s="1"/>
      <c r="M721" s="5">
        <v>252.89</v>
      </c>
    </row>
    <row r="722" ht="15.75" hidden="1" customHeight="1">
      <c r="A722" s="1" t="s">
        <v>1715</v>
      </c>
      <c r="B722" s="2">
        <v>541.0</v>
      </c>
      <c r="C722" s="1" t="s">
        <v>27</v>
      </c>
      <c r="D722" s="1" t="s">
        <v>1716</v>
      </c>
      <c r="E722" s="3">
        <v>45026.0</v>
      </c>
      <c r="F722" s="1" t="s">
        <v>3</v>
      </c>
      <c r="G722" s="4">
        <v>5.02050231E8</v>
      </c>
      <c r="H722" s="1" t="s">
        <v>1717</v>
      </c>
      <c r="I722" s="2"/>
      <c r="J722" s="1" t="s">
        <v>124</v>
      </c>
      <c r="K722" s="1">
        <v>15.0</v>
      </c>
      <c r="L722" s="1"/>
      <c r="M722" s="5">
        <v>130.43</v>
      </c>
    </row>
    <row r="723" ht="15.75" hidden="1" customHeight="1">
      <c r="A723" s="1" t="s">
        <v>1718</v>
      </c>
      <c r="B723" s="2">
        <v>862.0</v>
      </c>
      <c r="C723" s="1" t="s">
        <v>675</v>
      </c>
      <c r="D723" s="1" t="s">
        <v>1719</v>
      </c>
      <c r="E723" s="3">
        <v>45461.0</v>
      </c>
      <c r="F723" s="1" t="s">
        <v>3</v>
      </c>
      <c r="G723" s="4">
        <v>5.02118241E8</v>
      </c>
      <c r="H723" s="1" t="s">
        <v>1720</v>
      </c>
      <c r="I723" s="2"/>
      <c r="J723" s="1" t="s">
        <v>1721</v>
      </c>
      <c r="K723" s="1">
        <v>10.0</v>
      </c>
      <c r="L723" s="1"/>
      <c r="M723" s="5">
        <v>151.06</v>
      </c>
    </row>
    <row r="724" ht="15.75" hidden="1" customHeight="1">
      <c r="A724" s="1" t="s">
        <v>1722</v>
      </c>
      <c r="B724" s="2">
        <v>551.0</v>
      </c>
      <c r="C724" s="1" t="s">
        <v>126</v>
      </c>
      <c r="D724" s="1" t="s">
        <v>1723</v>
      </c>
      <c r="E724" s="3">
        <v>45027.0</v>
      </c>
      <c r="F724" s="1" t="s">
        <v>3</v>
      </c>
      <c r="G724" s="4">
        <v>5.18048231E8</v>
      </c>
      <c r="H724" s="1" t="s">
        <v>1724</v>
      </c>
      <c r="I724" s="2"/>
      <c r="J724" s="1" t="s">
        <v>124</v>
      </c>
      <c r="K724" s="1">
        <v>3.0</v>
      </c>
      <c r="L724" s="1"/>
      <c r="M724" s="5">
        <v>196.37</v>
      </c>
    </row>
    <row r="725" ht="15.75" hidden="1" customHeight="1">
      <c r="A725" s="1" t="s">
        <v>1725</v>
      </c>
      <c r="B725" s="2">
        <v>566.0</v>
      </c>
      <c r="C725" s="1" t="s">
        <v>804</v>
      </c>
      <c r="D725" s="1" t="s">
        <v>1726</v>
      </c>
      <c r="E725" s="3">
        <v>45058.0</v>
      </c>
      <c r="F725" s="1" t="s">
        <v>3</v>
      </c>
      <c r="G725" s="4">
        <v>5.18048231E8</v>
      </c>
      <c r="H725" s="1" t="s">
        <v>1724</v>
      </c>
      <c r="I725" s="2"/>
      <c r="J725" s="1" t="s">
        <v>623</v>
      </c>
      <c r="K725" s="1">
        <v>25.0</v>
      </c>
      <c r="L725" s="1"/>
      <c r="M725" s="5">
        <v>129.14</v>
      </c>
    </row>
    <row r="726" ht="15.75" hidden="1" customHeight="1">
      <c r="A726" s="1" t="s">
        <v>1475</v>
      </c>
      <c r="B726" s="2">
        <v>593.0</v>
      </c>
      <c r="C726" s="1" t="s">
        <v>126</v>
      </c>
      <c r="D726" s="1" t="s">
        <v>1476</v>
      </c>
      <c r="E726" s="3">
        <v>45103.0</v>
      </c>
      <c r="F726" s="1" t="s">
        <v>3</v>
      </c>
      <c r="G726" s="4">
        <v>5.18048231E8</v>
      </c>
      <c r="H726" s="1" t="s">
        <v>1724</v>
      </c>
      <c r="I726" s="2"/>
      <c r="J726" s="1" t="s">
        <v>416</v>
      </c>
      <c r="K726" s="1">
        <v>1.0</v>
      </c>
      <c r="L726" s="1"/>
      <c r="M726" s="5">
        <v>196.37</v>
      </c>
    </row>
    <row r="727" ht="15.75" hidden="1" customHeight="1">
      <c r="A727" s="1" t="s">
        <v>1727</v>
      </c>
      <c r="B727" s="2">
        <v>1014.0</v>
      </c>
      <c r="C727" s="1" t="s">
        <v>1728</v>
      </c>
      <c r="D727" s="1" t="s">
        <v>1729</v>
      </c>
      <c r="E727" s="3">
        <v>45708.0</v>
      </c>
      <c r="F727" s="1" t="s">
        <v>3</v>
      </c>
      <c r="G727" s="4">
        <v>6.01014251E8</v>
      </c>
      <c r="H727" s="1" t="s">
        <v>1730</v>
      </c>
      <c r="I727" s="2"/>
      <c r="J727" s="1" t="s">
        <v>1731</v>
      </c>
      <c r="K727" s="1">
        <v>100.0</v>
      </c>
      <c r="L727" s="1"/>
      <c r="M727" s="5">
        <v>43.0</v>
      </c>
    </row>
    <row r="728" ht="15.75" hidden="1" customHeight="1">
      <c r="A728" s="1" t="s">
        <v>1732</v>
      </c>
      <c r="B728" s="2">
        <v>786.0</v>
      </c>
      <c r="C728" s="1" t="s">
        <v>1728</v>
      </c>
      <c r="D728" s="1" t="s">
        <v>1733</v>
      </c>
      <c r="E728" s="3">
        <v>45350.0</v>
      </c>
      <c r="F728" s="1" t="s">
        <v>3</v>
      </c>
      <c r="G728" s="4">
        <v>6.01029241E8</v>
      </c>
      <c r="H728" s="1" t="s">
        <v>1734</v>
      </c>
      <c r="I728" s="2"/>
      <c r="J728" s="1" t="s">
        <v>1731</v>
      </c>
      <c r="K728" s="1">
        <v>100.0</v>
      </c>
      <c r="L728" s="1"/>
      <c r="M728" s="5">
        <v>50.0</v>
      </c>
    </row>
    <row r="729" ht="15.75" hidden="1" customHeight="1">
      <c r="A729" s="1" t="s">
        <v>1735</v>
      </c>
      <c r="B729" s="2">
        <v>524.0</v>
      </c>
      <c r="C729" s="1" t="s">
        <v>1736</v>
      </c>
      <c r="D729" s="1" t="s">
        <v>1737</v>
      </c>
      <c r="E729" s="3">
        <v>44985.0</v>
      </c>
      <c r="F729" s="1" t="s">
        <v>3</v>
      </c>
      <c r="G729" s="4">
        <v>6.01038231E8</v>
      </c>
      <c r="H729" s="1" t="s">
        <v>1738</v>
      </c>
      <c r="I729" s="2"/>
      <c r="J729" s="1" t="s">
        <v>9</v>
      </c>
      <c r="K729" s="1">
        <v>20.0</v>
      </c>
      <c r="L729" s="1"/>
      <c r="M729" s="5">
        <v>112.63</v>
      </c>
    </row>
    <row r="730" ht="15.75" hidden="1" customHeight="1">
      <c r="A730" s="1" t="s">
        <v>1739</v>
      </c>
      <c r="B730" s="2">
        <v>585.0</v>
      </c>
      <c r="C730" s="1" t="s">
        <v>1728</v>
      </c>
      <c r="D730" s="1" t="s">
        <v>1740</v>
      </c>
      <c r="E730" s="3">
        <v>45093.0</v>
      </c>
      <c r="F730" s="1" t="s">
        <v>3</v>
      </c>
      <c r="G730" s="4">
        <v>6.01089231E8</v>
      </c>
      <c r="H730" s="1" t="s">
        <v>1741</v>
      </c>
      <c r="I730" s="2"/>
      <c r="J730" s="1" t="s">
        <v>1619</v>
      </c>
      <c r="K730" s="1">
        <v>100.0</v>
      </c>
      <c r="L730" s="1"/>
      <c r="M730" s="5">
        <v>52.06</v>
      </c>
    </row>
    <row r="731" ht="15.75" hidden="1" customHeight="1">
      <c r="A731" s="1" t="s">
        <v>1742</v>
      </c>
      <c r="B731" s="2">
        <v>623.0</v>
      </c>
      <c r="C731" s="1" t="s">
        <v>1728</v>
      </c>
      <c r="D731" s="1" t="s">
        <v>1743</v>
      </c>
      <c r="E731" s="1" t="s">
        <v>60</v>
      </c>
      <c r="F731" s="1" t="s">
        <v>3</v>
      </c>
      <c r="G731" s="4">
        <v>6.01089231E8</v>
      </c>
      <c r="H731" s="1" t="s">
        <v>1741</v>
      </c>
      <c r="I731" s="2"/>
      <c r="J731" s="1" t="s">
        <v>1619</v>
      </c>
      <c r="K731" s="1">
        <v>100.0</v>
      </c>
      <c r="L731" s="1"/>
      <c r="M731" s="5">
        <v>52.06</v>
      </c>
    </row>
    <row r="732" ht="15.75" hidden="1" customHeight="1">
      <c r="A732" s="1" t="s">
        <v>1744</v>
      </c>
      <c r="B732" s="2">
        <v>1088.0</v>
      </c>
      <c r="C732" s="1" t="s">
        <v>426</v>
      </c>
      <c r="D732" s="1" t="s">
        <v>1745</v>
      </c>
      <c r="E732" s="3">
        <v>45861.0</v>
      </c>
      <c r="F732" s="1" t="s">
        <v>3</v>
      </c>
      <c r="G732" s="4">
        <v>6.01110251E8</v>
      </c>
      <c r="H732" s="1" t="s">
        <v>1746</v>
      </c>
      <c r="I732" s="2"/>
      <c r="J732" s="1" t="s">
        <v>1731</v>
      </c>
      <c r="K732" s="1">
        <v>2160.0</v>
      </c>
      <c r="L732" s="1"/>
      <c r="M732" s="5">
        <v>31.5</v>
      </c>
    </row>
    <row r="733" ht="15.75" hidden="1" customHeight="1">
      <c r="A733" s="1" t="s">
        <v>1747</v>
      </c>
      <c r="B733" s="2">
        <v>700.0</v>
      </c>
      <c r="C733" s="1" t="s">
        <v>426</v>
      </c>
      <c r="D733" s="1" t="s">
        <v>1748</v>
      </c>
      <c r="E733" s="3">
        <v>45209.0</v>
      </c>
      <c r="F733" s="1" t="s">
        <v>3</v>
      </c>
      <c r="G733" s="4">
        <v>6.01138231E8</v>
      </c>
      <c r="H733" s="1" t="s">
        <v>1749</v>
      </c>
      <c r="I733" s="2"/>
      <c r="J733" s="1" t="s">
        <v>1731</v>
      </c>
      <c r="K733" s="1">
        <v>720.0</v>
      </c>
      <c r="L733" s="1"/>
      <c r="M733" s="5">
        <v>37.0</v>
      </c>
    </row>
    <row r="734" ht="15.75" hidden="1" customHeight="1">
      <c r="A734" s="1" t="s">
        <v>1750</v>
      </c>
      <c r="B734" s="2">
        <v>889.0</v>
      </c>
      <c r="C734" s="1" t="s">
        <v>426</v>
      </c>
      <c r="D734" s="1" t="s">
        <v>1751</v>
      </c>
      <c r="E734" s="3">
        <v>45503.0</v>
      </c>
      <c r="F734" s="1" t="s">
        <v>3</v>
      </c>
      <c r="G734" s="4">
        <v>6.01147241E8</v>
      </c>
      <c r="H734" s="1" t="s">
        <v>1752</v>
      </c>
      <c r="I734" s="2"/>
      <c r="J734" s="1" t="s">
        <v>1731</v>
      </c>
      <c r="K734" s="1">
        <v>720.0</v>
      </c>
      <c r="L734" s="1"/>
      <c r="M734" s="5">
        <v>37.0</v>
      </c>
    </row>
    <row r="735" ht="15.75" hidden="1" customHeight="1">
      <c r="A735" s="1" t="s">
        <v>1753</v>
      </c>
      <c r="B735" s="2">
        <v>1159.0</v>
      </c>
      <c r="C735" s="1" t="s">
        <v>426</v>
      </c>
      <c r="D735" s="1" t="s">
        <v>1754</v>
      </c>
      <c r="E735" s="3">
        <v>45972.0</v>
      </c>
      <c r="F735" s="1" t="s">
        <v>3</v>
      </c>
      <c r="G735" s="4">
        <v>6.01170251E8</v>
      </c>
      <c r="H735" s="1" t="s">
        <v>1755</v>
      </c>
      <c r="I735" s="2"/>
      <c r="J735" s="1" t="s">
        <v>1731</v>
      </c>
      <c r="K735" s="1">
        <v>2160.0</v>
      </c>
      <c r="L735" s="1"/>
      <c r="M735" s="5">
        <v>30.12</v>
      </c>
    </row>
    <row r="736" ht="15.75" hidden="1" customHeight="1">
      <c r="A736" s="1" t="s">
        <v>1756</v>
      </c>
      <c r="B736" s="2">
        <v>1168.0</v>
      </c>
      <c r="C736" s="1" t="s">
        <v>426</v>
      </c>
      <c r="D736" s="1" t="s">
        <v>1757</v>
      </c>
      <c r="E736" s="3">
        <v>45972.0</v>
      </c>
      <c r="F736" s="1" t="s">
        <v>3</v>
      </c>
      <c r="G736" s="4">
        <v>6.01170251E8</v>
      </c>
      <c r="H736" s="1" t="s">
        <v>1755</v>
      </c>
      <c r="I736" s="2"/>
      <c r="J736" s="1" t="s">
        <v>1731</v>
      </c>
      <c r="K736" s="1">
        <v>2160.0</v>
      </c>
      <c r="L736" s="1"/>
      <c r="M736" s="5">
        <v>30.12</v>
      </c>
    </row>
    <row r="737" ht="15.75" hidden="1" customHeight="1">
      <c r="A737" s="1" t="s">
        <v>1758</v>
      </c>
      <c r="B737" s="2">
        <v>758.0</v>
      </c>
      <c r="C737" s="1" t="s">
        <v>426</v>
      </c>
      <c r="D737" s="1" t="s">
        <v>1759</v>
      </c>
      <c r="E737" s="3">
        <v>45306.0</v>
      </c>
      <c r="F737" s="1" t="s">
        <v>3</v>
      </c>
      <c r="G737" s="4">
        <v>6.01186231E8</v>
      </c>
      <c r="H737" s="1" t="s">
        <v>1760</v>
      </c>
      <c r="I737" s="2"/>
      <c r="J737" s="1" t="s">
        <v>1731</v>
      </c>
      <c r="K737" s="1">
        <v>1440.0</v>
      </c>
      <c r="L737" s="1"/>
      <c r="M737" s="5">
        <v>32.0</v>
      </c>
    </row>
    <row r="738" ht="15.75" hidden="1" customHeight="1">
      <c r="A738" s="1" t="s">
        <v>1761</v>
      </c>
      <c r="B738" s="2">
        <v>969.0</v>
      </c>
      <c r="C738" s="1" t="s">
        <v>426</v>
      </c>
      <c r="D738" s="1" t="s">
        <v>1762</v>
      </c>
      <c r="E738" s="3">
        <v>45618.0</v>
      </c>
      <c r="F738" s="1" t="s">
        <v>3</v>
      </c>
      <c r="G738" s="4">
        <v>6.01216241E8</v>
      </c>
      <c r="H738" s="1" t="s">
        <v>1763</v>
      </c>
      <c r="I738" s="2"/>
      <c r="J738" s="1" t="s">
        <v>1731</v>
      </c>
      <c r="K738" s="1">
        <v>1440.0</v>
      </c>
      <c r="L738" s="1"/>
      <c r="M738" s="5">
        <v>32.0</v>
      </c>
    </row>
    <row r="739" ht="15.75" hidden="1" customHeight="1">
      <c r="A739" s="1" t="s">
        <v>1764</v>
      </c>
      <c r="B739" s="2">
        <v>991.0</v>
      </c>
      <c r="C739" s="1" t="s">
        <v>346</v>
      </c>
      <c r="D739" s="1" t="s">
        <v>1765</v>
      </c>
      <c r="E739" s="3">
        <v>45698.0</v>
      </c>
      <c r="F739" s="1" t="s">
        <v>3</v>
      </c>
      <c r="G739" s="4">
        <v>6.02004251E8</v>
      </c>
      <c r="H739" s="1" t="s">
        <v>1766</v>
      </c>
      <c r="I739" s="2"/>
      <c r="J739" s="1" t="s">
        <v>1767</v>
      </c>
      <c r="K739" s="1">
        <v>30.0</v>
      </c>
      <c r="L739" s="1"/>
      <c r="M739" s="5">
        <v>71.75</v>
      </c>
    </row>
    <row r="740" ht="15.75" hidden="1" customHeight="1">
      <c r="A740" s="1" t="s">
        <v>1768</v>
      </c>
      <c r="B740" s="2">
        <v>1005.0</v>
      </c>
      <c r="C740" s="1" t="s">
        <v>346</v>
      </c>
      <c r="D740" s="1" t="s">
        <v>1769</v>
      </c>
      <c r="E740" s="3">
        <v>45698.0</v>
      </c>
      <c r="F740" s="1" t="s">
        <v>3</v>
      </c>
      <c r="G740" s="4">
        <v>6.02004251E8</v>
      </c>
      <c r="H740" s="1" t="s">
        <v>1766</v>
      </c>
      <c r="I740" s="2"/>
      <c r="J740" s="1" t="s">
        <v>1767</v>
      </c>
      <c r="K740" s="1">
        <v>30.0</v>
      </c>
      <c r="L740" s="1"/>
      <c r="M740" s="5">
        <v>71.75</v>
      </c>
    </row>
    <row r="741" ht="15.75" hidden="1" customHeight="1">
      <c r="A741" s="1" t="s">
        <v>1770</v>
      </c>
      <c r="B741" s="2">
        <v>996.0</v>
      </c>
      <c r="C741" s="1" t="s">
        <v>169</v>
      </c>
      <c r="D741" s="1" t="s">
        <v>1771</v>
      </c>
      <c r="E741" s="3">
        <v>45698.0</v>
      </c>
      <c r="F741" s="1" t="s">
        <v>3</v>
      </c>
      <c r="G741" s="4">
        <v>6.02011251E8</v>
      </c>
      <c r="H741" s="1" t="s">
        <v>1772</v>
      </c>
      <c r="I741" s="2"/>
      <c r="J741" s="1" t="s">
        <v>1767</v>
      </c>
      <c r="K741" s="1">
        <v>500.0</v>
      </c>
      <c r="L741" s="1"/>
      <c r="M741" s="5">
        <v>35.54</v>
      </c>
    </row>
    <row r="742" ht="15.75" hidden="1" customHeight="1">
      <c r="A742" s="1" t="s">
        <v>1773</v>
      </c>
      <c r="B742" s="2">
        <v>770.0</v>
      </c>
      <c r="C742" s="1" t="s">
        <v>346</v>
      </c>
      <c r="D742" s="1" t="s">
        <v>1774</v>
      </c>
      <c r="E742" s="3">
        <v>45328.0</v>
      </c>
      <c r="F742" s="1" t="s">
        <v>3</v>
      </c>
      <c r="G742" s="4">
        <v>6.02014241E8</v>
      </c>
      <c r="H742" s="1" t="s">
        <v>1775</v>
      </c>
      <c r="I742" s="2"/>
      <c r="J742" s="1" t="s">
        <v>1767</v>
      </c>
      <c r="K742" s="1">
        <v>20.0</v>
      </c>
      <c r="L742" s="1"/>
      <c r="M742" s="5">
        <v>71.75</v>
      </c>
    </row>
    <row r="743" ht="15.75" hidden="1" customHeight="1">
      <c r="A743" s="1" t="s">
        <v>1776</v>
      </c>
      <c r="B743" s="2">
        <v>773.0</v>
      </c>
      <c r="C743" s="1" t="s">
        <v>107</v>
      </c>
      <c r="D743" s="1" t="s">
        <v>1777</v>
      </c>
      <c r="E743" s="3">
        <v>45328.0</v>
      </c>
      <c r="F743" s="1" t="s">
        <v>3</v>
      </c>
      <c r="G743" s="4">
        <v>6.02015241E8</v>
      </c>
      <c r="H743" s="1" t="s">
        <v>1778</v>
      </c>
      <c r="I743" s="2"/>
      <c r="J743" s="1" t="s">
        <v>1767</v>
      </c>
      <c r="K743" s="1">
        <v>500.0</v>
      </c>
      <c r="L743" s="1"/>
      <c r="M743" s="5">
        <v>88.88</v>
      </c>
    </row>
    <row r="744" ht="15.75" hidden="1" customHeight="1">
      <c r="A744" s="1" t="s">
        <v>1779</v>
      </c>
      <c r="B744" s="2">
        <v>784.0</v>
      </c>
      <c r="C744" s="1" t="s">
        <v>350</v>
      </c>
      <c r="D744" s="1" t="s">
        <v>1780</v>
      </c>
      <c r="E744" s="3">
        <v>45350.0</v>
      </c>
      <c r="F744" s="1" t="s">
        <v>3</v>
      </c>
      <c r="G744" s="4">
        <v>6.02016241E8</v>
      </c>
      <c r="H744" s="1" t="s">
        <v>1781</v>
      </c>
      <c r="I744" s="2"/>
      <c r="J744" s="1" t="s">
        <v>1767</v>
      </c>
      <c r="K744" s="1">
        <v>18000.0</v>
      </c>
      <c r="L744" s="1"/>
      <c r="M744" s="5">
        <v>14.64</v>
      </c>
    </row>
    <row r="745" ht="15.75" hidden="1" customHeight="1">
      <c r="A745" s="1" t="s">
        <v>1782</v>
      </c>
      <c r="B745" s="2">
        <v>1017.0</v>
      </c>
      <c r="C745" s="1" t="s">
        <v>350</v>
      </c>
      <c r="D745" s="1" t="s">
        <v>1783</v>
      </c>
      <c r="E745" s="3">
        <v>45708.0</v>
      </c>
      <c r="F745" s="1" t="s">
        <v>3</v>
      </c>
      <c r="G745" s="4">
        <v>6.02018251E8</v>
      </c>
      <c r="H745" s="1" t="s">
        <v>1784</v>
      </c>
      <c r="I745" s="2"/>
      <c r="J745" s="1" t="s">
        <v>1767</v>
      </c>
      <c r="K745" s="1">
        <v>18000.0</v>
      </c>
      <c r="L745" s="1"/>
      <c r="M745" s="5">
        <v>14.3</v>
      </c>
    </row>
    <row r="746" ht="15.75" hidden="1" customHeight="1">
      <c r="A746" s="1" t="s">
        <v>1785</v>
      </c>
      <c r="B746" s="2">
        <v>518.0</v>
      </c>
      <c r="C746" s="1" t="s">
        <v>169</v>
      </c>
      <c r="D746" s="1" t="s">
        <v>1786</v>
      </c>
      <c r="E746" s="3">
        <v>44981.0</v>
      </c>
      <c r="F746" s="1" t="s">
        <v>3</v>
      </c>
      <c r="G746" s="4">
        <v>6.02024231E8</v>
      </c>
      <c r="H746" s="1" t="s">
        <v>1787</v>
      </c>
      <c r="I746" s="2"/>
      <c r="J746" s="1" t="s">
        <v>5</v>
      </c>
      <c r="K746" s="1">
        <v>800.0</v>
      </c>
      <c r="L746" s="1"/>
      <c r="M746" s="5">
        <v>33.61</v>
      </c>
    </row>
    <row r="747" ht="15.75" hidden="1" customHeight="1">
      <c r="A747" s="1" t="s">
        <v>1788</v>
      </c>
      <c r="B747" s="2">
        <v>528.0</v>
      </c>
      <c r="C747" s="1" t="s">
        <v>350</v>
      </c>
      <c r="D747" s="1" t="s">
        <v>1789</v>
      </c>
      <c r="E747" s="3">
        <v>44991.0</v>
      </c>
      <c r="F747" s="1" t="s">
        <v>3</v>
      </c>
      <c r="G747" s="4">
        <v>6.02024231E8</v>
      </c>
      <c r="H747" s="1" t="s">
        <v>1787</v>
      </c>
      <c r="I747" s="2"/>
      <c r="J747" s="1" t="s">
        <v>1790</v>
      </c>
      <c r="K747" s="1">
        <v>18000.0</v>
      </c>
      <c r="L747" s="1"/>
      <c r="M747" s="5">
        <v>14.0</v>
      </c>
    </row>
    <row r="748" ht="15.75" hidden="1" customHeight="1">
      <c r="A748" s="1" t="s">
        <v>1791</v>
      </c>
      <c r="B748" s="2">
        <v>577.0</v>
      </c>
      <c r="C748" s="1" t="s">
        <v>346</v>
      </c>
      <c r="D748" s="1" t="s">
        <v>1792</v>
      </c>
      <c r="E748" s="3">
        <v>45083.0</v>
      </c>
      <c r="F748" s="1" t="s">
        <v>3</v>
      </c>
      <c r="G748" s="4">
        <v>6.02024231E8</v>
      </c>
      <c r="H748" s="1" t="s">
        <v>1787</v>
      </c>
      <c r="I748" s="2"/>
      <c r="J748" s="1" t="s">
        <v>1790</v>
      </c>
      <c r="K748" s="1">
        <v>10.0</v>
      </c>
      <c r="L748" s="1"/>
      <c r="M748" s="5">
        <v>73.0</v>
      </c>
    </row>
    <row r="749" ht="15.75" hidden="1" customHeight="1">
      <c r="A749" s="1" t="s">
        <v>1793</v>
      </c>
      <c r="B749" s="2">
        <v>812.0</v>
      </c>
      <c r="C749" s="1" t="s">
        <v>169</v>
      </c>
      <c r="D749" s="1" t="s">
        <v>1794</v>
      </c>
      <c r="E749" s="3">
        <v>45377.0</v>
      </c>
      <c r="F749" s="1" t="s">
        <v>3</v>
      </c>
      <c r="G749" s="4">
        <v>6.02059241E8</v>
      </c>
      <c r="H749" s="1" t="s">
        <v>1795</v>
      </c>
      <c r="I749" s="2"/>
      <c r="J749" s="1" t="s">
        <v>1767</v>
      </c>
      <c r="K749" s="1">
        <v>500.0</v>
      </c>
      <c r="L749" s="1"/>
      <c r="M749" s="5">
        <v>34.61</v>
      </c>
    </row>
    <row r="750" ht="15.75" hidden="1" customHeight="1">
      <c r="A750" s="1" t="s">
        <v>1796</v>
      </c>
      <c r="B750" s="2">
        <v>825.0</v>
      </c>
      <c r="C750" s="1" t="s">
        <v>346</v>
      </c>
      <c r="D750" s="1" t="s">
        <v>1797</v>
      </c>
      <c r="E750" s="3">
        <v>45397.0</v>
      </c>
      <c r="F750" s="1" t="s">
        <v>3</v>
      </c>
      <c r="G750" s="4">
        <v>6.02082241E8</v>
      </c>
      <c r="H750" s="1" t="s">
        <v>1798</v>
      </c>
      <c r="I750" s="2"/>
      <c r="J750" s="1" t="s">
        <v>1767</v>
      </c>
      <c r="K750" s="1">
        <v>14.0</v>
      </c>
      <c r="L750" s="1"/>
      <c r="M750" s="5">
        <v>73.0</v>
      </c>
    </row>
    <row r="751" ht="15.75" hidden="1" customHeight="1">
      <c r="A751" s="1" t="s">
        <v>1799</v>
      </c>
      <c r="B751" s="2">
        <v>1073.0</v>
      </c>
      <c r="C751" s="1" t="s">
        <v>169</v>
      </c>
      <c r="D751" s="1" t="s">
        <v>1800</v>
      </c>
      <c r="E751" s="3">
        <v>45860.0</v>
      </c>
      <c r="F751" s="1" t="s">
        <v>3</v>
      </c>
      <c r="G751" s="4">
        <v>6.02093251E8</v>
      </c>
      <c r="H751" s="1" t="s">
        <v>1801</v>
      </c>
      <c r="I751" s="2"/>
      <c r="J751" s="1" t="s">
        <v>1767</v>
      </c>
      <c r="K751" s="1">
        <v>500.0</v>
      </c>
      <c r="L751" s="1"/>
      <c r="M751" s="5">
        <v>36.27</v>
      </c>
    </row>
    <row r="752" ht="15.75" hidden="1" customHeight="1">
      <c r="A752" s="1" t="s">
        <v>1802</v>
      </c>
      <c r="B752" s="2">
        <v>680.0</v>
      </c>
      <c r="C752" s="1" t="s">
        <v>350</v>
      </c>
      <c r="D752" s="1" t="s">
        <v>1803</v>
      </c>
      <c r="E752" s="3">
        <v>45175.0</v>
      </c>
      <c r="F752" s="1" t="s">
        <v>3</v>
      </c>
      <c r="G752" s="4">
        <v>6.02098231E8</v>
      </c>
      <c r="H752" s="1" t="s">
        <v>1804</v>
      </c>
      <c r="I752" s="2"/>
      <c r="J752" s="1" t="s">
        <v>1767</v>
      </c>
      <c r="K752" s="1">
        <v>18000.0</v>
      </c>
      <c r="L752" s="1"/>
      <c r="M752" s="5">
        <v>14.64</v>
      </c>
    </row>
    <row r="753" ht="15.75" hidden="1" customHeight="1">
      <c r="A753" s="1" t="s">
        <v>1805</v>
      </c>
      <c r="B753" s="2">
        <v>1070.0</v>
      </c>
      <c r="C753" s="1" t="s">
        <v>346</v>
      </c>
      <c r="D753" s="1" t="s">
        <v>1806</v>
      </c>
      <c r="E753" s="3">
        <v>45793.0</v>
      </c>
      <c r="F753" s="1" t="s">
        <v>3</v>
      </c>
      <c r="G753" s="4">
        <v>6.02098251E8</v>
      </c>
      <c r="H753" s="1" t="s">
        <v>1807</v>
      </c>
      <c r="I753" s="2"/>
      <c r="J753" s="1" t="s">
        <v>1767</v>
      </c>
      <c r="K753" s="1">
        <v>30.0</v>
      </c>
      <c r="L753" s="1"/>
      <c r="M753" s="5">
        <v>71.75</v>
      </c>
    </row>
    <row r="754" ht="15.75" hidden="1" customHeight="1">
      <c r="A754" s="1" t="s">
        <v>1808</v>
      </c>
      <c r="B754" s="2">
        <v>1083.0</v>
      </c>
      <c r="C754" s="1" t="s">
        <v>107</v>
      </c>
      <c r="D754" s="1" t="s">
        <v>1809</v>
      </c>
      <c r="E754" s="3">
        <v>45861.0</v>
      </c>
      <c r="F754" s="1" t="s">
        <v>3</v>
      </c>
      <c r="G754" s="4">
        <v>6.02101251E8</v>
      </c>
      <c r="H754" s="1" t="s">
        <v>1810</v>
      </c>
      <c r="I754" s="2"/>
      <c r="J754" s="1" t="s">
        <v>1767</v>
      </c>
      <c r="K754" s="1">
        <v>1000.0</v>
      </c>
      <c r="L754" s="1"/>
      <c r="M754" s="5">
        <v>88.88</v>
      </c>
    </row>
    <row r="755" ht="15.75" hidden="1" customHeight="1">
      <c r="A755" s="1" t="s">
        <v>1811</v>
      </c>
      <c r="B755" s="2">
        <v>1101.0</v>
      </c>
      <c r="C755" s="1" t="s">
        <v>169</v>
      </c>
      <c r="D755" s="1" t="s">
        <v>1812</v>
      </c>
      <c r="E755" s="3">
        <v>45862.0</v>
      </c>
      <c r="F755" s="1" t="s">
        <v>3</v>
      </c>
      <c r="G755" s="4">
        <v>6.02124251E8</v>
      </c>
      <c r="H755" s="1" t="s">
        <v>1813</v>
      </c>
      <c r="I755" s="2"/>
      <c r="J755" s="1" t="s">
        <v>1767</v>
      </c>
      <c r="K755" s="1">
        <v>500.0</v>
      </c>
      <c r="L755" s="1"/>
      <c r="M755" s="5">
        <v>36.27</v>
      </c>
    </row>
    <row r="756" ht="15.75" hidden="1" customHeight="1">
      <c r="A756" s="1" t="s">
        <v>1814</v>
      </c>
      <c r="B756" s="2">
        <v>927.0</v>
      </c>
      <c r="C756" s="1" t="s">
        <v>107</v>
      </c>
      <c r="D756" s="1" t="s">
        <v>1815</v>
      </c>
      <c r="E756" s="3">
        <v>45554.0</v>
      </c>
      <c r="F756" s="1" t="s">
        <v>3</v>
      </c>
      <c r="G756" s="4">
        <v>6.02133241E8</v>
      </c>
      <c r="H756" s="1" t="s">
        <v>1816</v>
      </c>
      <c r="I756" s="2"/>
      <c r="J756" s="1" t="s">
        <v>1767</v>
      </c>
      <c r="K756" s="1">
        <v>500.0</v>
      </c>
      <c r="L756" s="1"/>
      <c r="M756" s="5">
        <v>88.88</v>
      </c>
    </row>
    <row r="757" ht="15.75" hidden="1" customHeight="1">
      <c r="A757" s="1" t="s">
        <v>1817</v>
      </c>
      <c r="B757" s="2">
        <v>909.0</v>
      </c>
      <c r="C757" s="1" t="s">
        <v>346</v>
      </c>
      <c r="D757" s="1" t="s">
        <v>1818</v>
      </c>
      <c r="E757" s="3">
        <v>45533.0</v>
      </c>
      <c r="F757" s="1" t="s">
        <v>3</v>
      </c>
      <c r="G757" s="4">
        <v>6.02142241E8</v>
      </c>
      <c r="H757" s="1" t="s">
        <v>1819</v>
      </c>
      <c r="I757" s="2"/>
      <c r="J757" s="1" t="s">
        <v>1767</v>
      </c>
      <c r="K757" s="1">
        <v>10.0</v>
      </c>
      <c r="L757" s="1"/>
      <c r="M757" s="5">
        <v>73.0</v>
      </c>
    </row>
    <row r="758" ht="15.75" hidden="1" customHeight="1">
      <c r="A758" s="1" t="s">
        <v>1820</v>
      </c>
      <c r="B758" s="2">
        <v>923.0</v>
      </c>
      <c r="C758" s="1" t="s">
        <v>169</v>
      </c>
      <c r="D758" s="1" t="s">
        <v>1821</v>
      </c>
      <c r="E758" s="3">
        <v>45553.0</v>
      </c>
      <c r="F758" s="1" t="s">
        <v>3</v>
      </c>
      <c r="G758" s="4">
        <v>6.02142241E8</v>
      </c>
      <c r="H758" s="1" t="s">
        <v>1819</v>
      </c>
      <c r="I758" s="2"/>
      <c r="J758" s="1" t="s">
        <v>1767</v>
      </c>
      <c r="K758" s="1">
        <v>300.0</v>
      </c>
      <c r="L758" s="1"/>
      <c r="M758" s="5">
        <v>31.11</v>
      </c>
    </row>
    <row r="759" ht="15.75" hidden="1" customHeight="1">
      <c r="A759" s="1" t="s">
        <v>1822</v>
      </c>
      <c r="B759" s="2">
        <v>1146.0</v>
      </c>
      <c r="C759" s="1" t="s">
        <v>169</v>
      </c>
      <c r="D759" s="1" t="s">
        <v>1823</v>
      </c>
      <c r="E759" s="3">
        <v>45923.0</v>
      </c>
      <c r="F759" s="1" t="s">
        <v>3</v>
      </c>
      <c r="G759" s="4">
        <v>6.02150251E8</v>
      </c>
      <c r="H759" s="1" t="s">
        <v>1824</v>
      </c>
      <c r="I759" s="2"/>
      <c r="J759" s="1" t="s">
        <v>1767</v>
      </c>
      <c r="K759" s="1">
        <v>500.0</v>
      </c>
      <c r="L759" s="1"/>
      <c r="M759" s="5">
        <v>36.27</v>
      </c>
    </row>
    <row r="760" ht="15.75" hidden="1" customHeight="1">
      <c r="A760" s="1" t="s">
        <v>1825</v>
      </c>
      <c r="B760" s="2">
        <v>734.0</v>
      </c>
      <c r="C760" s="1" t="s">
        <v>362</v>
      </c>
      <c r="D760" s="1" t="s">
        <v>1826</v>
      </c>
      <c r="E760" s="3">
        <v>45279.0</v>
      </c>
      <c r="F760" s="1" t="s">
        <v>3</v>
      </c>
      <c r="G760" s="4">
        <v>6.02157231E8</v>
      </c>
      <c r="H760" s="1" t="s">
        <v>1827</v>
      </c>
      <c r="I760" s="2"/>
      <c r="J760" s="1" t="s">
        <v>1767</v>
      </c>
      <c r="K760" s="1">
        <v>10.0</v>
      </c>
      <c r="L760" s="1"/>
      <c r="M760" s="5">
        <v>57.0</v>
      </c>
    </row>
    <row r="761" ht="15.75" hidden="1" customHeight="1">
      <c r="A761" s="1" t="s">
        <v>1828</v>
      </c>
      <c r="B761" s="2">
        <v>743.0</v>
      </c>
      <c r="C761" s="1" t="s">
        <v>346</v>
      </c>
      <c r="D761" s="1" t="s">
        <v>1829</v>
      </c>
      <c r="E761" s="3">
        <v>45279.0</v>
      </c>
      <c r="F761" s="1" t="s">
        <v>3</v>
      </c>
      <c r="G761" s="4">
        <v>6.02175231E8</v>
      </c>
      <c r="H761" s="1" t="s">
        <v>1830</v>
      </c>
      <c r="I761" s="2"/>
      <c r="J761" s="1" t="s">
        <v>1767</v>
      </c>
      <c r="K761" s="1">
        <v>25.0</v>
      </c>
      <c r="L761" s="1"/>
      <c r="M761" s="5">
        <v>72.0</v>
      </c>
    </row>
    <row r="762" ht="15.75" hidden="1" customHeight="1">
      <c r="A762" s="1" t="s">
        <v>1831</v>
      </c>
      <c r="B762" s="2">
        <v>755.0</v>
      </c>
      <c r="C762" s="1" t="s">
        <v>169</v>
      </c>
      <c r="D762" s="1" t="s">
        <v>1832</v>
      </c>
      <c r="E762" s="3">
        <v>45306.0</v>
      </c>
      <c r="F762" s="1" t="s">
        <v>3</v>
      </c>
      <c r="G762" s="4">
        <v>6.02183231E8</v>
      </c>
      <c r="H762" s="1" t="s">
        <v>1833</v>
      </c>
      <c r="I762" s="2"/>
      <c r="J762" s="1" t="s">
        <v>1767</v>
      </c>
      <c r="K762" s="1">
        <v>400.0</v>
      </c>
      <c r="L762" s="1"/>
      <c r="M762" s="5">
        <v>34.61</v>
      </c>
    </row>
    <row r="763" ht="15.75" hidden="1" customHeight="1">
      <c r="A763" s="1" t="s">
        <v>1834</v>
      </c>
      <c r="B763" s="2">
        <v>952.0</v>
      </c>
      <c r="C763" s="1" t="s">
        <v>346</v>
      </c>
      <c r="D763" s="1" t="s">
        <v>1835</v>
      </c>
      <c r="E763" s="3">
        <v>45596.0</v>
      </c>
      <c r="F763" s="1" t="s">
        <v>3</v>
      </c>
      <c r="G763" s="4">
        <v>6.02217241E8</v>
      </c>
      <c r="H763" s="1" t="s">
        <v>1836</v>
      </c>
      <c r="I763" s="2"/>
      <c r="J763" s="1" t="s">
        <v>1767</v>
      </c>
      <c r="K763" s="1">
        <v>20.0</v>
      </c>
      <c r="L763" s="1"/>
      <c r="M763" s="5">
        <v>71.75</v>
      </c>
    </row>
    <row r="764" ht="15.75" hidden="1" customHeight="1">
      <c r="A764" s="1" t="s">
        <v>1837</v>
      </c>
      <c r="B764" s="2">
        <v>557.0</v>
      </c>
      <c r="C764" s="1" t="s">
        <v>325</v>
      </c>
      <c r="D764" s="1" t="s">
        <v>1838</v>
      </c>
      <c r="E764" s="3">
        <v>45034.0</v>
      </c>
      <c r="F764" s="1" t="s">
        <v>3</v>
      </c>
      <c r="G764" s="4">
        <v>6.03071231E8</v>
      </c>
      <c r="H764" s="1" t="s">
        <v>1839</v>
      </c>
      <c r="I764" s="2"/>
      <c r="J764" s="1" t="s">
        <v>1840</v>
      </c>
      <c r="K764" s="1">
        <v>7.0</v>
      </c>
      <c r="L764" s="1"/>
      <c r="M764" s="5">
        <v>70.87</v>
      </c>
    </row>
    <row r="765" ht="15.75" hidden="1" customHeight="1">
      <c r="A765" s="1" t="s">
        <v>1841</v>
      </c>
      <c r="B765" s="2">
        <v>571.0</v>
      </c>
      <c r="C765" s="1" t="s">
        <v>325</v>
      </c>
      <c r="D765" s="1" t="s">
        <v>1842</v>
      </c>
      <c r="E765" s="3">
        <v>45068.0</v>
      </c>
      <c r="F765" s="1" t="s">
        <v>3</v>
      </c>
      <c r="G765" s="4">
        <v>6.03077231E8</v>
      </c>
      <c r="H765" s="1" t="s">
        <v>1843</v>
      </c>
      <c r="I765" s="2"/>
      <c r="J765" s="1" t="s">
        <v>1840</v>
      </c>
      <c r="K765" s="1">
        <v>2.0</v>
      </c>
      <c r="L765" s="1"/>
      <c r="M765" s="5">
        <v>70.87</v>
      </c>
    </row>
    <row r="766" ht="15.75" hidden="1" customHeight="1">
      <c r="A766" s="1" t="s">
        <v>1844</v>
      </c>
      <c r="B766" s="2">
        <v>591.0</v>
      </c>
      <c r="C766" s="1" t="s">
        <v>1845</v>
      </c>
      <c r="D766" s="1" t="s">
        <v>1846</v>
      </c>
      <c r="E766" s="3">
        <v>45103.0</v>
      </c>
      <c r="F766" s="1" t="s">
        <v>3</v>
      </c>
      <c r="G766" s="4">
        <v>6.03088231E8</v>
      </c>
      <c r="H766" s="1" t="s">
        <v>1847</v>
      </c>
      <c r="I766" s="2"/>
      <c r="J766" s="1" t="s">
        <v>1840</v>
      </c>
      <c r="K766" s="1">
        <v>20.0</v>
      </c>
      <c r="L766" s="1"/>
      <c r="M766" s="5">
        <v>68.09</v>
      </c>
    </row>
    <row r="767" ht="15.75" hidden="1" customHeight="1">
      <c r="A767" s="1" t="s">
        <v>1848</v>
      </c>
      <c r="B767" s="2">
        <v>597.0</v>
      </c>
      <c r="C767" s="1" t="s">
        <v>325</v>
      </c>
      <c r="D767" s="1" t="s">
        <v>1849</v>
      </c>
      <c r="E767" s="3">
        <v>45112.0</v>
      </c>
      <c r="F767" s="1" t="s">
        <v>3</v>
      </c>
      <c r="G767" s="4">
        <v>6.03094231E8</v>
      </c>
      <c r="H767" s="1" t="s">
        <v>1850</v>
      </c>
      <c r="I767" s="2"/>
      <c r="J767" s="1" t="s">
        <v>1840</v>
      </c>
      <c r="K767" s="1">
        <v>2.0</v>
      </c>
      <c r="L767" s="1"/>
      <c r="M767" s="5">
        <v>70.87</v>
      </c>
    </row>
    <row r="768" ht="15.75" hidden="1" customHeight="1">
      <c r="A768" s="1" t="s">
        <v>1851</v>
      </c>
      <c r="B768" s="2">
        <v>624.0</v>
      </c>
      <c r="C768" s="1" t="s">
        <v>325</v>
      </c>
      <c r="D768" s="1" t="s">
        <v>1852</v>
      </c>
      <c r="E768" s="1" t="s">
        <v>60</v>
      </c>
      <c r="F768" s="1" t="s">
        <v>3</v>
      </c>
      <c r="G768" s="4">
        <v>6.03094231E8</v>
      </c>
      <c r="H768" s="1" t="s">
        <v>1850</v>
      </c>
      <c r="I768" s="2"/>
      <c r="J768" s="1" t="s">
        <v>1840</v>
      </c>
      <c r="K768" s="1">
        <v>2.0</v>
      </c>
      <c r="L768" s="1"/>
      <c r="M768" s="5">
        <v>70.87</v>
      </c>
    </row>
    <row r="769" ht="15.75" hidden="1" customHeight="1">
      <c r="A769" s="1" t="s">
        <v>1853</v>
      </c>
      <c r="B769" s="2">
        <v>625.0</v>
      </c>
      <c r="C769" s="1" t="s">
        <v>325</v>
      </c>
      <c r="D769" s="1" t="s">
        <v>1854</v>
      </c>
      <c r="E769" s="1" t="s">
        <v>60</v>
      </c>
      <c r="F769" s="1" t="s">
        <v>3</v>
      </c>
      <c r="G769" s="4">
        <v>6.03094231E8</v>
      </c>
      <c r="H769" s="1" t="s">
        <v>1850</v>
      </c>
      <c r="I769" s="2"/>
      <c r="J769" s="1" t="s">
        <v>1840</v>
      </c>
      <c r="K769" s="1">
        <v>2.0</v>
      </c>
      <c r="L769" s="1"/>
      <c r="M769" s="5">
        <v>70.87</v>
      </c>
    </row>
    <row r="770" ht="15.75" hidden="1" customHeight="1">
      <c r="A770" s="1" t="s">
        <v>1855</v>
      </c>
      <c r="B770" s="2">
        <v>664.0</v>
      </c>
      <c r="C770" s="1" t="s">
        <v>169</v>
      </c>
      <c r="D770" s="1" t="s">
        <v>1856</v>
      </c>
      <c r="E770" s="3">
        <v>45152.0</v>
      </c>
      <c r="F770" s="1" t="s">
        <v>3</v>
      </c>
      <c r="G770" s="4">
        <v>6.03111231E8</v>
      </c>
      <c r="H770" s="1" t="s">
        <v>1857</v>
      </c>
      <c r="I770" s="2"/>
      <c r="J770" s="1" t="s">
        <v>1840</v>
      </c>
      <c r="K770" s="1">
        <v>1000.0</v>
      </c>
      <c r="L770" s="1"/>
      <c r="M770" s="5">
        <v>33.4</v>
      </c>
    </row>
    <row r="771" ht="15.75" hidden="1" customHeight="1">
      <c r="A771" s="1" t="s">
        <v>1858</v>
      </c>
      <c r="B771" s="2">
        <v>527.0</v>
      </c>
      <c r="C771" s="1" t="s">
        <v>1239</v>
      </c>
      <c r="D771" s="1" t="s">
        <v>1859</v>
      </c>
      <c r="E771" s="3">
        <v>44985.0</v>
      </c>
      <c r="F771" s="1" t="s">
        <v>3</v>
      </c>
      <c r="G771" s="4">
        <v>6.05037231E8</v>
      </c>
      <c r="H771" s="1" t="s">
        <v>1860</v>
      </c>
      <c r="I771" s="2"/>
      <c r="J771" s="1" t="s">
        <v>1861</v>
      </c>
      <c r="K771" s="1">
        <v>20.0</v>
      </c>
      <c r="L771" s="1"/>
      <c r="M771" s="5">
        <v>49.0</v>
      </c>
    </row>
    <row r="772" ht="15.75" hidden="1" customHeight="1">
      <c r="A772" s="1" t="s">
        <v>1862</v>
      </c>
      <c r="B772" s="2">
        <v>545.0</v>
      </c>
      <c r="C772" s="1" t="s">
        <v>1239</v>
      </c>
      <c r="D772" s="1" t="s">
        <v>1863</v>
      </c>
      <c r="E772" s="3">
        <v>45027.0</v>
      </c>
      <c r="F772" s="1" t="s">
        <v>3</v>
      </c>
      <c r="G772" s="4">
        <v>6.05061231E8</v>
      </c>
      <c r="H772" s="1" t="s">
        <v>1864</v>
      </c>
      <c r="I772" s="2"/>
      <c r="J772" s="1" t="s">
        <v>1861</v>
      </c>
      <c r="K772" s="1">
        <v>15.0</v>
      </c>
      <c r="L772" s="1"/>
      <c r="M772" s="5">
        <v>49.0</v>
      </c>
    </row>
    <row r="773" ht="15.75" hidden="1" customHeight="1">
      <c r="A773" s="1" t="s">
        <v>1865</v>
      </c>
      <c r="B773" s="2">
        <v>831.0</v>
      </c>
      <c r="C773" s="1" t="s">
        <v>1239</v>
      </c>
      <c r="D773" s="1" t="s">
        <v>1866</v>
      </c>
      <c r="E773" s="3">
        <v>45408.0</v>
      </c>
      <c r="F773" s="1" t="s">
        <v>3</v>
      </c>
      <c r="G773" s="4">
        <v>6.05092241E8</v>
      </c>
      <c r="H773" s="1" t="s">
        <v>1867</v>
      </c>
      <c r="I773" s="2"/>
      <c r="J773" s="1" t="s">
        <v>1868</v>
      </c>
      <c r="K773" s="1">
        <v>10.0</v>
      </c>
      <c r="L773" s="1"/>
      <c r="M773" s="5">
        <v>54.62</v>
      </c>
    </row>
    <row r="774" ht="15.75" hidden="1" customHeight="1">
      <c r="A774" s="1" t="s">
        <v>1869</v>
      </c>
      <c r="B774" s="2">
        <v>847.0</v>
      </c>
      <c r="C774" s="1" t="s">
        <v>1239</v>
      </c>
      <c r="D774" s="1" t="s">
        <v>1870</v>
      </c>
      <c r="E774" s="3">
        <v>45441.0</v>
      </c>
      <c r="F774" s="1" t="s">
        <v>3</v>
      </c>
      <c r="G774" s="4">
        <v>6.05119241E8</v>
      </c>
      <c r="H774" s="1" t="s">
        <v>1871</v>
      </c>
      <c r="I774" s="2"/>
      <c r="J774" s="1" t="s">
        <v>1868</v>
      </c>
      <c r="K774" s="1">
        <v>10.0</v>
      </c>
      <c r="L774" s="1"/>
      <c r="M774" s="5">
        <v>54.62</v>
      </c>
    </row>
    <row r="775" ht="15.75" hidden="1" customHeight="1">
      <c r="A775" s="1" t="s">
        <v>1872</v>
      </c>
      <c r="B775" s="2">
        <v>678.0</v>
      </c>
      <c r="C775" s="1" t="s">
        <v>1239</v>
      </c>
      <c r="D775" s="1" t="s">
        <v>1873</v>
      </c>
      <c r="E775" s="3">
        <v>45175.0</v>
      </c>
      <c r="F775" s="1" t="s">
        <v>3</v>
      </c>
      <c r="G775" s="4">
        <v>6.05124231E8</v>
      </c>
      <c r="H775" s="1" t="s">
        <v>1874</v>
      </c>
      <c r="I775" s="2"/>
      <c r="J775" s="1" t="s">
        <v>1868</v>
      </c>
      <c r="K775" s="1">
        <v>15.0</v>
      </c>
      <c r="L775" s="1"/>
      <c r="M775" s="5">
        <v>49.0</v>
      </c>
    </row>
    <row r="776" ht="15.75" hidden="1" customHeight="1">
      <c r="A776" s="1" t="s">
        <v>1875</v>
      </c>
      <c r="B776" s="2">
        <v>693.0</v>
      </c>
      <c r="C776" s="1" t="s">
        <v>1239</v>
      </c>
      <c r="D776" s="1" t="s">
        <v>1876</v>
      </c>
      <c r="E776" s="3">
        <v>45191.0</v>
      </c>
      <c r="F776" s="1" t="s">
        <v>3</v>
      </c>
      <c r="G776" s="4">
        <v>6.05129231E8</v>
      </c>
      <c r="H776" s="1" t="s">
        <v>1877</v>
      </c>
      <c r="I776" s="2"/>
      <c r="J776" s="1" t="s">
        <v>1868</v>
      </c>
      <c r="K776" s="1">
        <v>10.0</v>
      </c>
      <c r="L776" s="1"/>
      <c r="M776" s="5">
        <v>49.0</v>
      </c>
    </row>
    <row r="777" ht="15.75" hidden="1" customHeight="1">
      <c r="A777" s="1" t="s">
        <v>1878</v>
      </c>
      <c r="B777" s="2">
        <v>898.0</v>
      </c>
      <c r="C777" s="1" t="s">
        <v>1239</v>
      </c>
      <c r="D777" s="1" t="s">
        <v>1879</v>
      </c>
      <c r="E777" s="3">
        <v>45516.0</v>
      </c>
      <c r="F777" s="1" t="s">
        <v>3</v>
      </c>
      <c r="G777" s="4">
        <v>6.05161241E8</v>
      </c>
      <c r="H777" s="1" t="s">
        <v>1880</v>
      </c>
      <c r="I777" s="2"/>
      <c r="J777" s="1" t="s">
        <v>1868</v>
      </c>
      <c r="K777" s="1">
        <v>10.0</v>
      </c>
      <c r="L777" s="1"/>
      <c r="M777" s="5">
        <v>54.62</v>
      </c>
    </row>
    <row r="778" ht="15.75" hidden="1" customHeight="1">
      <c r="A778" s="1" t="s">
        <v>1881</v>
      </c>
      <c r="B778" s="2">
        <v>737.0</v>
      </c>
      <c r="C778" s="1" t="s">
        <v>1239</v>
      </c>
      <c r="D778" s="1" t="s">
        <v>1882</v>
      </c>
      <c r="E778" s="3">
        <v>45279.0</v>
      </c>
      <c r="F778" s="1" t="s">
        <v>3</v>
      </c>
      <c r="G778" s="4">
        <v>6.05174231E8</v>
      </c>
      <c r="H778" s="1" t="s">
        <v>1883</v>
      </c>
      <c r="I778" s="2"/>
      <c r="J778" s="1" t="s">
        <v>1868</v>
      </c>
      <c r="K778" s="1">
        <v>30.0</v>
      </c>
      <c r="L778" s="1"/>
      <c r="M778" s="5">
        <v>49.0</v>
      </c>
    </row>
    <row r="779" ht="15.75" hidden="1" customHeight="1">
      <c r="A779" s="1" t="s">
        <v>1884</v>
      </c>
      <c r="B779" s="2">
        <v>910.0</v>
      </c>
      <c r="C779" s="1" t="s">
        <v>1239</v>
      </c>
      <c r="D779" s="1" t="s">
        <v>1885</v>
      </c>
      <c r="E779" s="3">
        <v>45533.0</v>
      </c>
      <c r="F779" s="1" t="s">
        <v>3</v>
      </c>
      <c r="G779" s="4">
        <v>6.05177241E8</v>
      </c>
      <c r="H779" s="1" t="s">
        <v>1886</v>
      </c>
      <c r="I779" s="2"/>
      <c r="J779" s="1" t="s">
        <v>1868</v>
      </c>
      <c r="K779" s="1">
        <v>10.0</v>
      </c>
      <c r="L779" s="1"/>
      <c r="M779" s="5">
        <v>54.62</v>
      </c>
    </row>
    <row r="780" ht="15.75" hidden="1" customHeight="1">
      <c r="A780" s="1" t="s">
        <v>1887</v>
      </c>
      <c r="B780" s="2">
        <v>749.0</v>
      </c>
      <c r="C780" s="1" t="s">
        <v>1239</v>
      </c>
      <c r="D780" s="1" t="s">
        <v>1888</v>
      </c>
      <c r="E780" s="3">
        <v>45299.0</v>
      </c>
      <c r="F780" s="1" t="s">
        <v>3</v>
      </c>
      <c r="G780" s="4">
        <v>6.05182231E8</v>
      </c>
      <c r="H780" s="1" t="s">
        <v>1889</v>
      </c>
      <c r="I780" s="2"/>
      <c r="J780" s="1" t="s">
        <v>1868</v>
      </c>
      <c r="K780" s="1">
        <v>30.0</v>
      </c>
      <c r="L780" s="1"/>
      <c r="M780" s="5">
        <v>49.0</v>
      </c>
    </row>
    <row r="781" ht="15.75" hidden="1" customHeight="1">
      <c r="A781" s="1" t="s">
        <v>1890</v>
      </c>
      <c r="B781" s="2">
        <v>943.0</v>
      </c>
      <c r="C781" s="1" t="s">
        <v>1239</v>
      </c>
      <c r="D781" s="1" t="s">
        <v>1891</v>
      </c>
      <c r="E781" s="3">
        <v>45580.0</v>
      </c>
      <c r="F781" s="1" t="s">
        <v>3</v>
      </c>
      <c r="G781" s="4">
        <v>6.05206241E8</v>
      </c>
      <c r="H781" s="1" t="s">
        <v>1892</v>
      </c>
      <c r="I781" s="2"/>
      <c r="J781" s="1" t="s">
        <v>1868</v>
      </c>
      <c r="K781" s="1">
        <v>10.0</v>
      </c>
      <c r="L781" s="1"/>
      <c r="M781" s="5">
        <v>54.62</v>
      </c>
    </row>
    <row r="782" ht="15.75" hidden="1" customHeight="1">
      <c r="A782" s="1" t="s">
        <v>1893</v>
      </c>
      <c r="B782" s="2">
        <v>958.0</v>
      </c>
      <c r="C782" s="1" t="s">
        <v>1239</v>
      </c>
      <c r="D782" s="1" t="s">
        <v>1894</v>
      </c>
      <c r="E782" s="3">
        <v>45602.0</v>
      </c>
      <c r="F782" s="1" t="s">
        <v>3</v>
      </c>
      <c r="G782" s="4">
        <v>6.05228241E8</v>
      </c>
      <c r="H782" s="1" t="s">
        <v>1895</v>
      </c>
      <c r="I782" s="2"/>
      <c r="J782" s="1" t="s">
        <v>1868</v>
      </c>
      <c r="K782" s="1">
        <v>10.0</v>
      </c>
      <c r="L782" s="1"/>
      <c r="M782" s="5">
        <v>54.62</v>
      </c>
    </row>
    <row r="783" ht="15.75" hidden="1" customHeight="1">
      <c r="A783" s="1" t="s">
        <v>1896</v>
      </c>
      <c r="B783" s="2">
        <v>785.0</v>
      </c>
      <c r="C783" s="1" t="s">
        <v>11</v>
      </c>
      <c r="D783" s="1" t="s">
        <v>1897</v>
      </c>
      <c r="E783" s="3">
        <v>45350.0</v>
      </c>
      <c r="F783" s="1" t="s">
        <v>3</v>
      </c>
      <c r="G783" s="4">
        <v>6.06033241E8</v>
      </c>
      <c r="H783" s="1" t="s">
        <v>1898</v>
      </c>
      <c r="I783" s="2"/>
      <c r="J783" s="1" t="s">
        <v>1899</v>
      </c>
      <c r="K783" s="1">
        <v>25.0</v>
      </c>
      <c r="L783" s="1"/>
      <c r="M783" s="5">
        <v>102.0</v>
      </c>
    </row>
    <row r="784" ht="15.75" hidden="1" customHeight="1">
      <c r="A784" s="1" t="s">
        <v>1900</v>
      </c>
      <c r="B784" s="2">
        <v>778.0</v>
      </c>
      <c r="C784" s="1" t="s">
        <v>491</v>
      </c>
      <c r="D784" s="1" t="s">
        <v>1901</v>
      </c>
      <c r="E784" s="3">
        <v>45335.0</v>
      </c>
      <c r="F784" s="1" t="s">
        <v>3</v>
      </c>
      <c r="G784" s="4">
        <v>6.07010241E8</v>
      </c>
      <c r="H784" s="1" t="s">
        <v>1902</v>
      </c>
      <c r="I784" s="2"/>
      <c r="J784" s="1" t="s">
        <v>1903</v>
      </c>
      <c r="K784" s="1">
        <v>10.0</v>
      </c>
      <c r="L784" s="1"/>
      <c r="M784" s="5">
        <v>88.55</v>
      </c>
    </row>
    <row r="785" ht="15.75" hidden="1" customHeight="1">
      <c r="A785" s="1" t="s">
        <v>1904</v>
      </c>
      <c r="B785" s="2">
        <v>993.0</v>
      </c>
      <c r="C785" s="1" t="s">
        <v>475</v>
      </c>
      <c r="D785" s="1" t="s">
        <v>1905</v>
      </c>
      <c r="E785" s="3">
        <v>45698.0</v>
      </c>
      <c r="F785" s="1" t="s">
        <v>3</v>
      </c>
      <c r="G785" s="4">
        <v>6.07012251E8</v>
      </c>
      <c r="H785" s="1" t="s">
        <v>1906</v>
      </c>
      <c r="I785" s="2"/>
      <c r="J785" s="1" t="s">
        <v>1903</v>
      </c>
      <c r="K785" s="1">
        <v>50.0</v>
      </c>
      <c r="L785" s="1"/>
      <c r="M785" s="5">
        <v>155.0</v>
      </c>
    </row>
    <row r="786" ht="15.75" hidden="1" customHeight="1">
      <c r="A786" s="1" t="s">
        <v>1907</v>
      </c>
      <c r="B786" s="2">
        <v>1006.0</v>
      </c>
      <c r="C786" s="1" t="s">
        <v>475</v>
      </c>
      <c r="D786" s="1" t="s">
        <v>1908</v>
      </c>
      <c r="E786" s="3">
        <v>45698.0</v>
      </c>
      <c r="F786" s="1" t="s">
        <v>3</v>
      </c>
      <c r="G786" s="4">
        <v>6.07012251E8</v>
      </c>
      <c r="H786" s="1" t="s">
        <v>1906</v>
      </c>
      <c r="I786" s="2"/>
      <c r="J786" s="1" t="s">
        <v>1903</v>
      </c>
      <c r="K786" s="1">
        <v>50.0</v>
      </c>
      <c r="L786" s="1"/>
      <c r="M786" s="5">
        <v>155.0</v>
      </c>
    </row>
    <row r="787" ht="15.75" hidden="1" customHeight="1">
      <c r="A787" s="1" t="s">
        <v>1909</v>
      </c>
      <c r="B787" s="2">
        <v>769.0</v>
      </c>
      <c r="C787" s="1" t="s">
        <v>1910</v>
      </c>
      <c r="D787" s="1" t="s">
        <v>1911</v>
      </c>
      <c r="E787" s="3">
        <v>45322.0</v>
      </c>
      <c r="F787" s="1" t="s">
        <v>719</v>
      </c>
      <c r="G787" s="4">
        <v>6.07013241E8</v>
      </c>
      <c r="H787" s="1" t="s">
        <v>1912</v>
      </c>
      <c r="I787" s="2"/>
      <c r="J787" s="1" t="s">
        <v>1903</v>
      </c>
      <c r="K787" s="1">
        <v>1.0</v>
      </c>
      <c r="L787" s="1"/>
      <c r="M787" s="5">
        <v>1141.52</v>
      </c>
    </row>
    <row r="788" ht="15.75" hidden="1" customHeight="1">
      <c r="A788" s="1" t="s">
        <v>1913</v>
      </c>
      <c r="B788" s="2">
        <v>824.0</v>
      </c>
      <c r="C788" s="1" t="s">
        <v>1910</v>
      </c>
      <c r="D788" s="1" t="s">
        <v>1911</v>
      </c>
      <c r="E788" s="3">
        <v>45397.0</v>
      </c>
      <c r="F788" s="1" t="s">
        <v>719</v>
      </c>
      <c r="G788" s="4">
        <v>6.07013241E8</v>
      </c>
      <c r="H788" s="1" t="s">
        <v>1912</v>
      </c>
      <c r="I788" s="2"/>
      <c r="J788" s="1" t="s">
        <v>1903</v>
      </c>
      <c r="K788" s="1">
        <v>1.0</v>
      </c>
      <c r="L788" s="1"/>
      <c r="M788" s="5">
        <v>1141.52</v>
      </c>
    </row>
    <row r="789" ht="15.75" hidden="1" customHeight="1">
      <c r="A789" s="1" t="s">
        <v>1914</v>
      </c>
      <c r="B789" s="2">
        <v>788.0</v>
      </c>
      <c r="C789" s="1" t="s">
        <v>797</v>
      </c>
      <c r="D789" s="1" t="s">
        <v>1915</v>
      </c>
      <c r="E789" s="3">
        <v>45350.0</v>
      </c>
      <c r="F789" s="1" t="s">
        <v>3</v>
      </c>
      <c r="G789" s="4">
        <v>6.07032241E8</v>
      </c>
      <c r="H789" s="1" t="s">
        <v>1916</v>
      </c>
      <c r="I789" s="2"/>
      <c r="J789" s="1" t="s">
        <v>1903</v>
      </c>
      <c r="K789" s="1">
        <v>15.0</v>
      </c>
      <c r="L789" s="1"/>
      <c r="M789" s="5">
        <v>105.0</v>
      </c>
    </row>
    <row r="790" ht="15.75" hidden="1" customHeight="1">
      <c r="A790" s="1" t="s">
        <v>1917</v>
      </c>
      <c r="B790" s="2">
        <v>1033.0</v>
      </c>
      <c r="C790" s="1" t="s">
        <v>475</v>
      </c>
      <c r="D790" s="1" t="s">
        <v>1918</v>
      </c>
      <c r="E790" s="3">
        <v>45736.0</v>
      </c>
      <c r="F790" s="1" t="s">
        <v>3</v>
      </c>
      <c r="G790" s="4">
        <v>6.07044251E8</v>
      </c>
      <c r="H790" s="1" t="s">
        <v>1919</v>
      </c>
      <c r="I790" s="2"/>
      <c r="J790" s="1" t="s">
        <v>1903</v>
      </c>
      <c r="K790" s="1">
        <v>50.0</v>
      </c>
      <c r="L790" s="1"/>
      <c r="M790" s="5">
        <v>155.0</v>
      </c>
    </row>
    <row r="791" ht="15.75" hidden="1" customHeight="1">
      <c r="A791" s="1" t="s">
        <v>1920</v>
      </c>
      <c r="B791" s="2">
        <v>801.0</v>
      </c>
      <c r="C791" s="1" t="s">
        <v>143</v>
      </c>
      <c r="D791" s="1" t="s">
        <v>1921</v>
      </c>
      <c r="E791" s="3">
        <v>45370.0</v>
      </c>
      <c r="F791" s="1" t="s">
        <v>3</v>
      </c>
      <c r="G791" s="4">
        <v>6.07052241E8</v>
      </c>
      <c r="H791" s="1" t="s">
        <v>1922</v>
      </c>
      <c r="I791" s="2"/>
      <c r="J791" s="1" t="s">
        <v>1903</v>
      </c>
      <c r="K791" s="1">
        <v>5.0</v>
      </c>
      <c r="L791" s="1"/>
      <c r="M791" s="5">
        <v>100.0</v>
      </c>
    </row>
    <row r="792" ht="15.75" hidden="1" customHeight="1">
      <c r="A792" s="1" t="s">
        <v>1923</v>
      </c>
      <c r="B792" s="2">
        <v>544.0</v>
      </c>
      <c r="C792" s="1" t="s">
        <v>491</v>
      </c>
      <c r="D792" s="1" t="s">
        <v>1924</v>
      </c>
      <c r="E792" s="3">
        <v>45027.0</v>
      </c>
      <c r="F792" s="1" t="s">
        <v>3</v>
      </c>
      <c r="G792" s="4">
        <v>6.07059231E8</v>
      </c>
      <c r="H792" s="1" t="s">
        <v>1925</v>
      </c>
      <c r="I792" s="2"/>
      <c r="J792" s="1" t="s">
        <v>416</v>
      </c>
      <c r="K792" s="1">
        <v>10.0</v>
      </c>
      <c r="L792" s="1"/>
      <c r="M792" s="5">
        <v>88.55</v>
      </c>
    </row>
    <row r="793" ht="15.75" hidden="1" customHeight="1">
      <c r="A793" s="1" t="s">
        <v>1926</v>
      </c>
      <c r="B793" s="2">
        <v>828.0</v>
      </c>
      <c r="C793" s="1" t="s">
        <v>475</v>
      </c>
      <c r="D793" s="1" t="s">
        <v>1927</v>
      </c>
      <c r="E793" s="3">
        <v>45397.0</v>
      </c>
      <c r="F793" s="1" t="s">
        <v>3</v>
      </c>
      <c r="G793" s="4">
        <v>6.07083241E8</v>
      </c>
      <c r="H793" s="1" t="s">
        <v>1928</v>
      </c>
      <c r="I793" s="2"/>
      <c r="J793" s="1" t="s">
        <v>1903</v>
      </c>
      <c r="K793" s="1">
        <v>50.0</v>
      </c>
      <c r="L793" s="1"/>
      <c r="M793" s="5">
        <v>155.0</v>
      </c>
    </row>
    <row r="794" ht="15.75" hidden="1" customHeight="1">
      <c r="A794" s="1" t="s">
        <v>1929</v>
      </c>
      <c r="B794" s="2">
        <v>599.0</v>
      </c>
      <c r="C794" s="1" t="s">
        <v>346</v>
      </c>
      <c r="D794" s="1" t="s">
        <v>1930</v>
      </c>
      <c r="E794" s="3">
        <v>45112.0</v>
      </c>
      <c r="F794" s="1" t="s">
        <v>3</v>
      </c>
      <c r="G794" s="4">
        <v>6.07103231E8</v>
      </c>
      <c r="H794" s="1" t="s">
        <v>1931</v>
      </c>
      <c r="I794" s="2"/>
      <c r="J794" s="1" t="s">
        <v>1903</v>
      </c>
      <c r="K794" s="1">
        <v>15.0</v>
      </c>
      <c r="L794" s="1"/>
      <c r="M794" s="5">
        <v>73.0</v>
      </c>
    </row>
    <row r="795" ht="15.75" hidden="1" customHeight="1">
      <c r="A795" s="1" t="s">
        <v>1932</v>
      </c>
      <c r="B795" s="2">
        <v>600.0</v>
      </c>
      <c r="C795" s="1" t="s">
        <v>346</v>
      </c>
      <c r="D795" s="1" t="s">
        <v>1933</v>
      </c>
      <c r="E795" s="3">
        <v>45112.0</v>
      </c>
      <c r="F795" s="1" t="s">
        <v>3</v>
      </c>
      <c r="G795" s="4">
        <v>6.07103231E8</v>
      </c>
      <c r="H795" s="1" t="s">
        <v>1931</v>
      </c>
      <c r="I795" s="2"/>
      <c r="J795" s="1" t="s">
        <v>1903</v>
      </c>
      <c r="K795" s="1">
        <v>8.0</v>
      </c>
      <c r="L795" s="1"/>
      <c r="M795" s="5">
        <v>73.0</v>
      </c>
    </row>
    <row r="796" ht="15.75" hidden="1" customHeight="1">
      <c r="A796" s="1" t="s">
        <v>1934</v>
      </c>
      <c r="B796" s="2">
        <v>863.0</v>
      </c>
      <c r="C796" s="1" t="s">
        <v>143</v>
      </c>
      <c r="D796" s="1" t="s">
        <v>1935</v>
      </c>
      <c r="E796" s="3">
        <v>45462.0</v>
      </c>
      <c r="F796" s="1" t="s">
        <v>3</v>
      </c>
      <c r="G796" s="4">
        <v>6.07122241E8</v>
      </c>
      <c r="H796" s="1" t="s">
        <v>1936</v>
      </c>
      <c r="I796" s="2"/>
      <c r="J796" s="1" t="s">
        <v>1937</v>
      </c>
      <c r="K796" s="1">
        <v>40.0</v>
      </c>
      <c r="L796" s="1"/>
      <c r="M796" s="5">
        <v>117.01</v>
      </c>
    </row>
    <row r="797" ht="15.75" hidden="1" customHeight="1">
      <c r="A797" s="1" t="s">
        <v>1938</v>
      </c>
      <c r="B797" s="2">
        <v>716.0</v>
      </c>
      <c r="C797" s="1" t="s">
        <v>491</v>
      </c>
      <c r="D797" s="1" t="s">
        <v>1939</v>
      </c>
      <c r="E797" s="3">
        <v>45252.0</v>
      </c>
      <c r="F797" s="1" t="s">
        <v>3</v>
      </c>
      <c r="G797" s="4">
        <v>6.07144231E8</v>
      </c>
      <c r="H797" s="1" t="s">
        <v>1940</v>
      </c>
      <c r="I797" s="2"/>
      <c r="J797" s="1" t="s">
        <v>1903</v>
      </c>
      <c r="K797" s="1">
        <v>10.0</v>
      </c>
      <c r="L797" s="1"/>
      <c r="M797" s="5">
        <v>88.55</v>
      </c>
    </row>
    <row r="798" ht="15.75" hidden="1" customHeight="1">
      <c r="A798" s="1" t="s">
        <v>1941</v>
      </c>
      <c r="B798" s="2">
        <v>717.0</v>
      </c>
      <c r="C798" s="1" t="s">
        <v>491</v>
      </c>
      <c r="D798" s="1" t="s">
        <v>1942</v>
      </c>
      <c r="E798" s="3">
        <v>45252.0</v>
      </c>
      <c r="F798" s="1" t="s">
        <v>3</v>
      </c>
      <c r="G798" s="4">
        <v>6.07144231E8</v>
      </c>
      <c r="H798" s="1" t="s">
        <v>1940</v>
      </c>
      <c r="I798" s="2"/>
      <c r="J798" s="1" t="s">
        <v>1903</v>
      </c>
      <c r="K798" s="1">
        <v>10.0</v>
      </c>
      <c r="L798" s="1"/>
      <c r="M798" s="5">
        <v>88.55</v>
      </c>
    </row>
    <row r="799" ht="15.75" hidden="1" customHeight="1">
      <c r="A799" s="1" t="s">
        <v>1938</v>
      </c>
      <c r="B799" s="2">
        <v>716.0</v>
      </c>
      <c r="C799" s="1" t="s">
        <v>491</v>
      </c>
      <c r="D799" s="1" t="s">
        <v>1939</v>
      </c>
      <c r="E799" s="3">
        <v>45252.0</v>
      </c>
      <c r="F799" s="1" t="s">
        <v>3</v>
      </c>
      <c r="G799" s="4">
        <v>6.07145231E8</v>
      </c>
      <c r="H799" s="1" t="s">
        <v>1943</v>
      </c>
      <c r="I799" s="2"/>
      <c r="J799" s="1" t="s">
        <v>1903</v>
      </c>
      <c r="K799" s="1">
        <v>10.0</v>
      </c>
      <c r="L799" s="1"/>
      <c r="M799" s="5">
        <v>98.73</v>
      </c>
    </row>
    <row r="800" ht="15.75" hidden="1" customHeight="1">
      <c r="A800" s="1" t="s">
        <v>1941</v>
      </c>
      <c r="B800" s="2">
        <v>717.0</v>
      </c>
      <c r="C800" s="1" t="s">
        <v>491</v>
      </c>
      <c r="D800" s="1" t="s">
        <v>1942</v>
      </c>
      <c r="E800" s="3">
        <v>45252.0</v>
      </c>
      <c r="F800" s="1" t="s">
        <v>3</v>
      </c>
      <c r="G800" s="4">
        <v>6.07145231E8</v>
      </c>
      <c r="H800" s="1" t="s">
        <v>1943</v>
      </c>
      <c r="I800" s="2"/>
      <c r="J800" s="1" t="s">
        <v>1903</v>
      </c>
      <c r="K800" s="1">
        <v>10.0</v>
      </c>
      <c r="L800" s="1"/>
      <c r="M800" s="5">
        <v>98.73</v>
      </c>
    </row>
    <row r="801" ht="15.75" hidden="1" customHeight="1">
      <c r="A801" s="1" t="s">
        <v>1944</v>
      </c>
      <c r="B801" s="2">
        <v>934.0</v>
      </c>
      <c r="C801" s="1" t="s">
        <v>475</v>
      </c>
      <c r="D801" s="1" t="s">
        <v>1945</v>
      </c>
      <c r="E801" s="3">
        <v>45574.0</v>
      </c>
      <c r="F801" s="1" t="s">
        <v>3</v>
      </c>
      <c r="G801" s="4">
        <v>6.07160241E8</v>
      </c>
      <c r="H801" s="1" t="s">
        <v>1946</v>
      </c>
      <c r="I801" s="2"/>
      <c r="J801" s="1" t="s">
        <v>1903</v>
      </c>
      <c r="K801" s="1">
        <v>50.0</v>
      </c>
      <c r="L801" s="1"/>
      <c r="M801" s="5">
        <v>155.0</v>
      </c>
    </row>
    <row r="802" ht="15.75" hidden="1" customHeight="1">
      <c r="A802" s="1" t="s">
        <v>1947</v>
      </c>
      <c r="B802" s="2">
        <v>728.0</v>
      </c>
      <c r="C802" s="1" t="s">
        <v>475</v>
      </c>
      <c r="D802" s="1" t="s">
        <v>1948</v>
      </c>
      <c r="E802" s="3">
        <v>45279.0</v>
      </c>
      <c r="F802" s="1" t="s">
        <v>3</v>
      </c>
      <c r="G802" s="4">
        <v>6.07163231E8</v>
      </c>
      <c r="H802" s="1" t="s">
        <v>1949</v>
      </c>
      <c r="I802" s="2"/>
      <c r="J802" s="1" t="s">
        <v>1903</v>
      </c>
      <c r="K802" s="1">
        <v>50.0</v>
      </c>
      <c r="L802" s="1"/>
      <c r="M802" s="5">
        <v>130.0</v>
      </c>
    </row>
    <row r="803" ht="15.75" hidden="1" customHeight="1">
      <c r="A803" s="1" t="s">
        <v>1950</v>
      </c>
      <c r="B803" s="2">
        <v>1136.0</v>
      </c>
      <c r="C803" s="1" t="s">
        <v>482</v>
      </c>
      <c r="D803" s="1" t="s">
        <v>1951</v>
      </c>
      <c r="E803" s="3">
        <v>45911.0</v>
      </c>
      <c r="F803" s="1" t="s">
        <v>3</v>
      </c>
      <c r="G803" s="4">
        <v>6.07164251E8</v>
      </c>
      <c r="H803" s="1" t="s">
        <v>1952</v>
      </c>
      <c r="I803" s="2"/>
      <c r="J803" s="1" t="s">
        <v>1903</v>
      </c>
      <c r="K803" s="1">
        <v>2.0</v>
      </c>
      <c r="L803" s="1"/>
      <c r="M803" s="5">
        <v>218.58</v>
      </c>
    </row>
    <row r="804" ht="15.75" hidden="1" customHeight="1">
      <c r="A804" s="1" t="s">
        <v>1953</v>
      </c>
      <c r="B804" s="2">
        <v>1147.0</v>
      </c>
      <c r="C804" s="1" t="s">
        <v>491</v>
      </c>
      <c r="D804" s="1" t="s">
        <v>1954</v>
      </c>
      <c r="E804" s="3">
        <v>45939.0</v>
      </c>
      <c r="F804" s="1" t="s">
        <v>86</v>
      </c>
      <c r="G804" s="4">
        <v>6.07167251E8</v>
      </c>
      <c r="H804" s="1" t="s">
        <v>1955</v>
      </c>
      <c r="I804" s="2"/>
      <c r="J804" s="1" t="s">
        <v>1903</v>
      </c>
      <c r="K804" s="1">
        <v>15.0</v>
      </c>
      <c r="L804" s="1"/>
      <c r="M804" s="5">
        <v>88.55</v>
      </c>
    </row>
    <row r="805" ht="15.75" hidden="1" customHeight="1">
      <c r="A805" s="1" t="s">
        <v>1953</v>
      </c>
      <c r="B805" s="2">
        <v>1147.0</v>
      </c>
      <c r="C805" s="1" t="s">
        <v>491</v>
      </c>
      <c r="D805" s="1" t="s">
        <v>1954</v>
      </c>
      <c r="E805" s="3">
        <v>45939.0</v>
      </c>
      <c r="F805" s="1" t="s">
        <v>86</v>
      </c>
      <c r="G805" s="4">
        <v>6.07167251E8</v>
      </c>
      <c r="H805" s="1" t="s">
        <v>1955</v>
      </c>
      <c r="I805" s="2"/>
      <c r="J805" s="1" t="s">
        <v>1903</v>
      </c>
      <c r="K805" s="1">
        <v>5.0</v>
      </c>
      <c r="L805" s="1"/>
      <c r="M805" s="5">
        <v>98.73</v>
      </c>
    </row>
    <row r="806" ht="15.75" hidden="1" customHeight="1">
      <c r="A806" s="1" t="s">
        <v>1956</v>
      </c>
      <c r="B806" s="2">
        <v>948.0</v>
      </c>
      <c r="C806" s="1" t="s">
        <v>1910</v>
      </c>
      <c r="D806" s="1" t="s">
        <v>1957</v>
      </c>
      <c r="E806" s="3">
        <v>45596.0</v>
      </c>
      <c r="F806" s="1" t="s">
        <v>719</v>
      </c>
      <c r="G806" s="4">
        <v>6.07219241E8</v>
      </c>
      <c r="H806" s="1" t="s">
        <v>1958</v>
      </c>
      <c r="I806" s="2"/>
      <c r="J806" s="1" t="s">
        <v>1903</v>
      </c>
      <c r="K806" s="1">
        <v>1.0</v>
      </c>
      <c r="L806" s="1"/>
      <c r="M806" s="5">
        <v>1777.53</v>
      </c>
    </row>
    <row r="807" ht="15.75" hidden="1" customHeight="1">
      <c r="A807" s="1" t="s">
        <v>1959</v>
      </c>
      <c r="B807" s="2">
        <v>762.0</v>
      </c>
      <c r="C807" s="1" t="s">
        <v>55</v>
      </c>
      <c r="D807" s="1" t="s">
        <v>1960</v>
      </c>
      <c r="E807" s="3">
        <v>45320.0</v>
      </c>
      <c r="F807" s="1" t="s">
        <v>3</v>
      </c>
      <c r="G807" s="4">
        <v>6.08004241E8</v>
      </c>
      <c r="H807" s="1" t="s">
        <v>1961</v>
      </c>
      <c r="I807" s="2"/>
      <c r="J807" s="1" t="s">
        <v>1962</v>
      </c>
      <c r="K807" s="1">
        <v>100.0</v>
      </c>
      <c r="L807" s="1"/>
      <c r="M807" s="5">
        <v>96.77</v>
      </c>
    </row>
    <row r="808" ht="15.75" hidden="1" customHeight="1">
      <c r="A808" s="1" t="s">
        <v>1963</v>
      </c>
      <c r="B808" s="2">
        <v>543.0</v>
      </c>
      <c r="C808" s="1" t="s">
        <v>55</v>
      </c>
      <c r="D808" s="1" t="s">
        <v>1964</v>
      </c>
      <c r="E808" s="3">
        <v>45026.0</v>
      </c>
      <c r="F808" s="1" t="s">
        <v>3</v>
      </c>
      <c r="G808" s="4">
        <v>6.08055231E8</v>
      </c>
      <c r="H808" s="1" t="s">
        <v>1965</v>
      </c>
      <c r="I808" s="2"/>
      <c r="J808" s="1" t="s">
        <v>1633</v>
      </c>
      <c r="K808" s="1">
        <v>100.0</v>
      </c>
      <c r="L808" s="1"/>
      <c r="M808" s="5">
        <v>96.77</v>
      </c>
    </row>
    <row r="809" ht="15.75" hidden="1" customHeight="1">
      <c r="A809" s="1" t="s">
        <v>1966</v>
      </c>
      <c r="B809" s="2">
        <v>816.0</v>
      </c>
      <c r="C809" s="1" t="s">
        <v>55</v>
      </c>
      <c r="D809" s="1" t="s">
        <v>1967</v>
      </c>
      <c r="E809" s="3">
        <v>45390.0</v>
      </c>
      <c r="F809" s="1" t="s">
        <v>3</v>
      </c>
      <c r="G809" s="4">
        <v>6.08071241E8</v>
      </c>
      <c r="H809" s="1" t="s">
        <v>1968</v>
      </c>
      <c r="I809" s="2"/>
      <c r="J809" s="1" t="s">
        <v>1962</v>
      </c>
      <c r="K809" s="1">
        <v>100.0</v>
      </c>
      <c r="L809" s="1"/>
      <c r="M809" s="5">
        <v>96.77</v>
      </c>
    </row>
    <row r="810" ht="15.75" hidden="1" customHeight="1">
      <c r="A810" s="1" t="s">
        <v>1969</v>
      </c>
      <c r="B810" s="2">
        <v>581.0</v>
      </c>
      <c r="C810" s="1" t="s">
        <v>59</v>
      </c>
      <c r="D810" s="1" t="s">
        <v>1970</v>
      </c>
      <c r="E810" s="3">
        <v>45086.0</v>
      </c>
      <c r="F810" s="1" t="s">
        <v>3</v>
      </c>
      <c r="G810" s="4">
        <v>6.08084231E8</v>
      </c>
      <c r="H810" s="1" t="s">
        <v>1971</v>
      </c>
      <c r="I810" s="2"/>
      <c r="J810" s="1" t="s">
        <v>1619</v>
      </c>
      <c r="K810" s="1">
        <v>200.0</v>
      </c>
      <c r="L810" s="1"/>
      <c r="M810" s="5">
        <v>96.77</v>
      </c>
    </row>
    <row r="811" ht="15.75" hidden="1" customHeight="1">
      <c r="A811" s="1" t="s">
        <v>1972</v>
      </c>
      <c r="B811" s="2">
        <v>851.0</v>
      </c>
      <c r="C811" s="1" t="s">
        <v>1973</v>
      </c>
      <c r="D811" s="1" t="s">
        <v>1974</v>
      </c>
      <c r="E811" s="3">
        <v>45448.0</v>
      </c>
      <c r="F811" s="1" t="s">
        <v>3</v>
      </c>
      <c r="G811" s="4">
        <v>6.08100241E8</v>
      </c>
      <c r="H811" s="1" t="s">
        <v>1975</v>
      </c>
      <c r="I811" s="2"/>
      <c r="J811" s="1" t="s">
        <v>1962</v>
      </c>
      <c r="K811" s="1">
        <v>100.0</v>
      </c>
      <c r="L811" s="1"/>
      <c r="M811" s="5">
        <v>96.77</v>
      </c>
    </row>
    <row r="812" ht="15.75" hidden="1" customHeight="1">
      <c r="A812" s="1" t="s">
        <v>1976</v>
      </c>
      <c r="B812" s="2">
        <v>864.0</v>
      </c>
      <c r="C812" s="1" t="s">
        <v>55</v>
      </c>
      <c r="D812" s="1" t="s">
        <v>1977</v>
      </c>
      <c r="E812" s="3">
        <v>45462.0</v>
      </c>
      <c r="F812" s="1" t="s">
        <v>3</v>
      </c>
      <c r="G812" s="4">
        <v>6.08100241E8</v>
      </c>
      <c r="H812" s="1" t="s">
        <v>1975</v>
      </c>
      <c r="I812" s="2"/>
      <c r="J812" s="1" t="s">
        <v>1962</v>
      </c>
      <c r="K812" s="1">
        <v>100.0</v>
      </c>
      <c r="L812" s="1"/>
      <c r="M812" s="5">
        <v>96.77</v>
      </c>
    </row>
    <row r="813" ht="15.75" hidden="1" customHeight="1">
      <c r="A813" s="1" t="s">
        <v>1978</v>
      </c>
      <c r="B813" s="2">
        <v>876.0</v>
      </c>
      <c r="C813" s="1" t="s">
        <v>55</v>
      </c>
      <c r="D813" s="1" t="s">
        <v>1979</v>
      </c>
      <c r="E813" s="3">
        <v>45482.0</v>
      </c>
      <c r="F813" s="1" t="s">
        <v>3</v>
      </c>
      <c r="G813" s="4">
        <v>6.08100241E8</v>
      </c>
      <c r="H813" s="1" t="s">
        <v>1975</v>
      </c>
      <c r="I813" s="2"/>
      <c r="J813" s="1" t="s">
        <v>623</v>
      </c>
      <c r="K813" s="1">
        <v>100.0</v>
      </c>
      <c r="L813" s="1"/>
      <c r="M813" s="5">
        <v>96.77</v>
      </c>
    </row>
    <row r="814" ht="15.75" hidden="1" customHeight="1">
      <c r="A814" s="1" t="s">
        <v>1980</v>
      </c>
      <c r="B814" s="2">
        <v>660.0</v>
      </c>
      <c r="C814" s="1" t="s">
        <v>59</v>
      </c>
      <c r="D814" s="1" t="s">
        <v>1981</v>
      </c>
      <c r="E814" s="3">
        <v>45141.0</v>
      </c>
      <c r="F814" s="1" t="s">
        <v>3</v>
      </c>
      <c r="G814" s="4">
        <v>6.08112231E8</v>
      </c>
      <c r="H814" s="1" t="s">
        <v>1982</v>
      </c>
      <c r="I814" s="2"/>
      <c r="J814" s="1" t="s">
        <v>1619</v>
      </c>
      <c r="K814" s="1">
        <v>250.0</v>
      </c>
      <c r="L814" s="1"/>
      <c r="M814" s="5">
        <v>96.77</v>
      </c>
    </row>
    <row r="815" ht="15.75" hidden="1" customHeight="1">
      <c r="A815" s="1" t="s">
        <v>1983</v>
      </c>
      <c r="B815" s="2">
        <v>665.0</v>
      </c>
      <c r="C815" s="1" t="s">
        <v>55</v>
      </c>
      <c r="D815" s="1" t="s">
        <v>1984</v>
      </c>
      <c r="E815" s="3">
        <v>45152.0</v>
      </c>
      <c r="F815" s="1" t="s">
        <v>3</v>
      </c>
      <c r="G815" s="4">
        <v>6.08112231E8</v>
      </c>
      <c r="H815" s="1" t="s">
        <v>1982</v>
      </c>
      <c r="I815" s="2"/>
      <c r="J815" s="1" t="s">
        <v>1619</v>
      </c>
      <c r="K815" s="1">
        <v>200.0</v>
      </c>
      <c r="L815" s="1"/>
      <c r="M815" s="5">
        <v>96.77</v>
      </c>
    </row>
    <row r="816" ht="15.75" hidden="1" customHeight="1">
      <c r="A816" s="1" t="s">
        <v>1985</v>
      </c>
      <c r="B816" s="2">
        <v>1089.0</v>
      </c>
      <c r="C816" s="1" t="s">
        <v>1986</v>
      </c>
      <c r="D816" s="1" t="s">
        <v>1987</v>
      </c>
      <c r="E816" s="3">
        <v>45861.0</v>
      </c>
      <c r="F816" s="1" t="s">
        <v>3</v>
      </c>
      <c r="G816" s="4">
        <v>6.08118251E8</v>
      </c>
      <c r="H816" s="1" t="s">
        <v>1988</v>
      </c>
      <c r="I816" s="2"/>
      <c r="J816" s="1" t="s">
        <v>1962</v>
      </c>
      <c r="K816" s="1">
        <v>800.0</v>
      </c>
      <c r="L816" s="1"/>
      <c r="M816" s="5">
        <v>103.46</v>
      </c>
    </row>
    <row r="817" ht="15.75" hidden="1" customHeight="1">
      <c r="A817" s="1" t="s">
        <v>1989</v>
      </c>
      <c r="B817" s="2">
        <v>1090.0</v>
      </c>
      <c r="C817" s="1" t="s">
        <v>1986</v>
      </c>
      <c r="D817" s="1" t="s">
        <v>1990</v>
      </c>
      <c r="E817" s="3">
        <v>45861.0</v>
      </c>
      <c r="F817" s="1" t="s">
        <v>3</v>
      </c>
      <c r="G817" s="4">
        <v>6.08118251E8</v>
      </c>
      <c r="H817" s="1" t="s">
        <v>1988</v>
      </c>
      <c r="I817" s="2"/>
      <c r="J817" s="1" t="s">
        <v>1962</v>
      </c>
      <c r="K817" s="1">
        <v>300.0</v>
      </c>
      <c r="L817" s="1"/>
      <c r="M817" s="5">
        <v>103.46</v>
      </c>
    </row>
    <row r="818" ht="15.75" hidden="1" customHeight="1">
      <c r="A818" s="1" t="s">
        <v>1991</v>
      </c>
      <c r="B818" s="2">
        <v>1103.0</v>
      </c>
      <c r="C818" s="1" t="s">
        <v>1986</v>
      </c>
      <c r="D818" s="1" t="s">
        <v>1992</v>
      </c>
      <c r="E818" s="3">
        <v>45862.0</v>
      </c>
      <c r="F818" s="1" t="s">
        <v>3</v>
      </c>
      <c r="G818" s="4">
        <v>6.08118251E8</v>
      </c>
      <c r="H818" s="1" t="s">
        <v>1988</v>
      </c>
      <c r="I818" s="2"/>
      <c r="J818" s="1" t="s">
        <v>1962</v>
      </c>
      <c r="K818" s="1">
        <v>500.0</v>
      </c>
      <c r="L818" s="1"/>
      <c r="M818" s="5">
        <v>103.46</v>
      </c>
    </row>
    <row r="819" ht="15.75" hidden="1" customHeight="1">
      <c r="A819" s="1" t="s">
        <v>1993</v>
      </c>
      <c r="B819" s="2">
        <v>679.0</v>
      </c>
      <c r="C819" s="1" t="s">
        <v>55</v>
      </c>
      <c r="D819" s="1" t="s">
        <v>1994</v>
      </c>
      <c r="E819" s="3">
        <v>45175.0</v>
      </c>
      <c r="F819" s="1" t="s">
        <v>3</v>
      </c>
      <c r="G819" s="4">
        <v>6.08122231E8</v>
      </c>
      <c r="H819" s="1" t="s">
        <v>1995</v>
      </c>
      <c r="I819" s="2"/>
      <c r="J819" s="1" t="s">
        <v>1962</v>
      </c>
      <c r="K819" s="1">
        <v>100.0</v>
      </c>
      <c r="L819" s="1"/>
      <c r="M819" s="5">
        <v>96.77</v>
      </c>
    </row>
    <row r="820" ht="15.75" hidden="1" customHeight="1">
      <c r="A820" s="1" t="s">
        <v>1996</v>
      </c>
      <c r="B820" s="2">
        <v>699.0</v>
      </c>
      <c r="C820" s="1" t="s">
        <v>59</v>
      </c>
      <c r="D820" s="1" t="s">
        <v>1997</v>
      </c>
      <c r="E820" s="3">
        <v>45209.0</v>
      </c>
      <c r="F820" s="1" t="s">
        <v>3</v>
      </c>
      <c r="G820" s="4">
        <v>6.08122231E8</v>
      </c>
      <c r="H820" s="1" t="s">
        <v>1995</v>
      </c>
      <c r="I820" s="2"/>
      <c r="J820" s="1" t="s">
        <v>623</v>
      </c>
      <c r="K820" s="1">
        <v>100.0</v>
      </c>
      <c r="L820" s="1"/>
      <c r="M820" s="5">
        <v>96.77</v>
      </c>
    </row>
    <row r="821" ht="15.75" hidden="1" customHeight="1">
      <c r="A821" s="1" t="s">
        <v>1998</v>
      </c>
      <c r="B821" s="2">
        <v>707.0</v>
      </c>
      <c r="C821" s="1" t="s">
        <v>55</v>
      </c>
      <c r="D821" s="1" t="s">
        <v>1999</v>
      </c>
      <c r="E821" s="3">
        <v>45223.0</v>
      </c>
      <c r="F821" s="1" t="s">
        <v>3</v>
      </c>
      <c r="G821" s="4">
        <v>6.08122231E8</v>
      </c>
      <c r="H821" s="1" t="s">
        <v>1995</v>
      </c>
      <c r="I821" s="2"/>
      <c r="J821" s="1" t="s">
        <v>1962</v>
      </c>
      <c r="K821" s="1">
        <v>100.0</v>
      </c>
      <c r="L821" s="1"/>
      <c r="M821" s="5">
        <v>96.7</v>
      </c>
    </row>
    <row r="822" ht="15.75" hidden="1" customHeight="1">
      <c r="A822" s="1" t="s">
        <v>2000</v>
      </c>
      <c r="B822" s="2">
        <v>1149.0</v>
      </c>
      <c r="C822" s="1" t="s">
        <v>1986</v>
      </c>
      <c r="D822" s="1" t="s">
        <v>2001</v>
      </c>
      <c r="E822" s="3">
        <v>45939.0</v>
      </c>
      <c r="F822" s="1" t="s">
        <v>3</v>
      </c>
      <c r="G822" s="4">
        <v>6.08143251E8</v>
      </c>
      <c r="H822" s="1" t="s">
        <v>2002</v>
      </c>
      <c r="I822" s="2"/>
      <c r="J822" s="1" t="s">
        <v>1962</v>
      </c>
      <c r="K822" s="1">
        <v>500.0</v>
      </c>
      <c r="L822" s="1"/>
      <c r="M822" s="5">
        <v>103.46</v>
      </c>
    </row>
    <row r="823" ht="15.75" hidden="1" customHeight="1">
      <c r="A823" s="1" t="s">
        <v>2003</v>
      </c>
      <c r="B823" s="2">
        <v>892.0</v>
      </c>
      <c r="C823" s="1" t="s">
        <v>55</v>
      </c>
      <c r="D823" s="1" t="s">
        <v>2004</v>
      </c>
      <c r="E823" s="3">
        <v>45506.0</v>
      </c>
      <c r="F823" s="1" t="s">
        <v>3</v>
      </c>
      <c r="G823" s="4">
        <v>6.08156241E8</v>
      </c>
      <c r="H823" s="1" t="s">
        <v>2005</v>
      </c>
      <c r="I823" s="2"/>
      <c r="J823" s="1" t="s">
        <v>1962</v>
      </c>
      <c r="K823" s="1">
        <v>100.0</v>
      </c>
      <c r="L823" s="1"/>
      <c r="M823" s="5">
        <v>96.77</v>
      </c>
    </row>
    <row r="824" ht="15.75" hidden="1" customHeight="1">
      <c r="A824" s="1" t="s">
        <v>2006</v>
      </c>
      <c r="B824" s="2">
        <v>893.0</v>
      </c>
      <c r="C824" s="1" t="s">
        <v>1973</v>
      </c>
      <c r="D824" s="1" t="s">
        <v>2007</v>
      </c>
      <c r="E824" s="3">
        <v>45506.0</v>
      </c>
      <c r="F824" s="1" t="s">
        <v>3</v>
      </c>
      <c r="G824" s="4">
        <v>6.08156241E8</v>
      </c>
      <c r="H824" s="1" t="s">
        <v>2005</v>
      </c>
      <c r="I824" s="2"/>
      <c r="J824" s="1" t="s">
        <v>1962</v>
      </c>
      <c r="K824" s="1">
        <v>100.0</v>
      </c>
      <c r="L824" s="1"/>
      <c r="M824" s="5">
        <v>96.77</v>
      </c>
    </row>
    <row r="825" ht="15.75" hidden="1" customHeight="1">
      <c r="A825" s="1" t="s">
        <v>2008</v>
      </c>
      <c r="B825" s="2">
        <v>896.0</v>
      </c>
      <c r="C825" s="1" t="s">
        <v>1973</v>
      </c>
      <c r="D825" s="1" t="s">
        <v>2009</v>
      </c>
      <c r="E825" s="3">
        <v>45516.0</v>
      </c>
      <c r="F825" s="1" t="s">
        <v>3</v>
      </c>
      <c r="G825" s="4">
        <v>6.08156241E8</v>
      </c>
      <c r="H825" s="1" t="s">
        <v>2005</v>
      </c>
      <c r="I825" s="2"/>
      <c r="J825" s="1" t="s">
        <v>1962</v>
      </c>
      <c r="K825" s="1">
        <v>200.0</v>
      </c>
      <c r="L825" s="1"/>
      <c r="M825" s="5">
        <v>96.77</v>
      </c>
    </row>
    <row r="826" ht="15.75" hidden="1" customHeight="1">
      <c r="A826" s="1" t="s">
        <v>2010</v>
      </c>
      <c r="B826" s="2">
        <v>906.0</v>
      </c>
      <c r="C826" s="1" t="s">
        <v>55</v>
      </c>
      <c r="D826" s="1" t="s">
        <v>2011</v>
      </c>
      <c r="E826" s="3">
        <v>45533.0</v>
      </c>
      <c r="F826" s="1" t="s">
        <v>3</v>
      </c>
      <c r="G826" s="4">
        <v>6.08156241E8</v>
      </c>
      <c r="H826" s="1" t="s">
        <v>2005</v>
      </c>
      <c r="I826" s="2"/>
      <c r="J826" s="1" t="s">
        <v>1962</v>
      </c>
      <c r="K826" s="1">
        <v>300.0</v>
      </c>
      <c r="L826" s="1"/>
      <c r="M826" s="5">
        <v>96.77</v>
      </c>
    </row>
    <row r="827" ht="15.75" hidden="1" customHeight="1">
      <c r="A827" s="1" t="s">
        <v>2012</v>
      </c>
      <c r="B827" s="2">
        <v>919.0</v>
      </c>
      <c r="C827" s="1" t="s">
        <v>1973</v>
      </c>
      <c r="D827" s="1" t="s">
        <v>2013</v>
      </c>
      <c r="E827" s="3">
        <v>45552.0</v>
      </c>
      <c r="F827" s="1" t="s">
        <v>3</v>
      </c>
      <c r="G827" s="4">
        <v>6.08188241E8</v>
      </c>
      <c r="H827" s="1" t="s">
        <v>2014</v>
      </c>
      <c r="I827" s="2"/>
      <c r="J827" s="1" t="s">
        <v>1962</v>
      </c>
      <c r="K827" s="1">
        <v>120.0</v>
      </c>
      <c r="L827" s="1"/>
      <c r="M827" s="5">
        <v>96.77</v>
      </c>
    </row>
    <row r="828" ht="15.75" hidden="1" customHeight="1">
      <c r="A828" s="1" t="s">
        <v>2015</v>
      </c>
      <c r="B828" s="2">
        <v>920.0</v>
      </c>
      <c r="C828" s="1" t="s">
        <v>55</v>
      </c>
      <c r="D828" s="1" t="s">
        <v>2016</v>
      </c>
      <c r="E828" s="3">
        <v>45552.0</v>
      </c>
      <c r="F828" s="1" t="s">
        <v>3</v>
      </c>
      <c r="G828" s="4">
        <v>6.08188241E8</v>
      </c>
      <c r="H828" s="1" t="s">
        <v>2014</v>
      </c>
      <c r="I828" s="2"/>
      <c r="J828" s="1" t="s">
        <v>1962</v>
      </c>
      <c r="K828" s="1">
        <v>150.0</v>
      </c>
      <c r="L828" s="1"/>
      <c r="M828" s="5">
        <v>96.77</v>
      </c>
    </row>
    <row r="829" ht="15.75" hidden="1" customHeight="1">
      <c r="A829" s="1" t="s">
        <v>2017</v>
      </c>
      <c r="B829" s="2">
        <v>944.0</v>
      </c>
      <c r="C829" s="1" t="s">
        <v>1973</v>
      </c>
      <c r="D829" s="1" t="s">
        <v>2018</v>
      </c>
      <c r="E829" s="3">
        <v>45583.0</v>
      </c>
      <c r="F829" s="1" t="s">
        <v>3</v>
      </c>
      <c r="G829" s="4">
        <v>6.08188241E8</v>
      </c>
      <c r="H829" s="1" t="s">
        <v>2014</v>
      </c>
      <c r="I829" s="2"/>
      <c r="J829" s="1" t="s">
        <v>1962</v>
      </c>
      <c r="K829" s="1">
        <v>150.0</v>
      </c>
      <c r="L829" s="1"/>
      <c r="M829" s="5">
        <v>96.77</v>
      </c>
    </row>
    <row r="830" ht="15.75" hidden="1" customHeight="1">
      <c r="A830" s="1" t="s">
        <v>2019</v>
      </c>
      <c r="B830" s="2">
        <v>945.0</v>
      </c>
      <c r="C830" s="1" t="s">
        <v>55</v>
      </c>
      <c r="D830" s="1" t="s">
        <v>2020</v>
      </c>
      <c r="E830" s="3">
        <v>45583.0</v>
      </c>
      <c r="F830" s="1" t="s">
        <v>3</v>
      </c>
      <c r="G830" s="4">
        <v>6.08188241E8</v>
      </c>
      <c r="H830" s="1" t="s">
        <v>2014</v>
      </c>
      <c r="I830" s="2"/>
      <c r="J830" s="1" t="s">
        <v>1962</v>
      </c>
      <c r="K830" s="1">
        <v>120.0</v>
      </c>
      <c r="L830" s="1"/>
      <c r="M830" s="5">
        <v>96.77</v>
      </c>
    </row>
    <row r="831" ht="15.75" hidden="1" customHeight="1">
      <c r="A831" s="1" t="s">
        <v>2021</v>
      </c>
      <c r="B831" s="2">
        <v>977.0</v>
      </c>
      <c r="C831" s="1" t="s">
        <v>1986</v>
      </c>
      <c r="D831" s="1" t="s">
        <v>2022</v>
      </c>
      <c r="E831" s="3">
        <v>45646.0</v>
      </c>
      <c r="F831" s="1" t="s">
        <v>3</v>
      </c>
      <c r="G831" s="4">
        <v>6.08211241E8</v>
      </c>
      <c r="H831" s="1" t="s">
        <v>2023</v>
      </c>
      <c r="I831" s="2"/>
      <c r="J831" s="1" t="s">
        <v>2024</v>
      </c>
      <c r="K831" s="1">
        <v>300.0</v>
      </c>
      <c r="L831" s="1"/>
      <c r="M831" s="5">
        <v>103.46</v>
      </c>
    </row>
    <row r="832" ht="15.75" hidden="1" customHeight="1">
      <c r="A832" s="1" t="s">
        <v>2025</v>
      </c>
      <c r="B832" s="2">
        <v>1049.0</v>
      </c>
      <c r="C832" s="1" t="s">
        <v>1973</v>
      </c>
      <c r="D832" s="1" t="s">
        <v>2026</v>
      </c>
      <c r="E832" s="3">
        <v>45743.0</v>
      </c>
      <c r="F832" s="1" t="s">
        <v>3</v>
      </c>
      <c r="G832" s="4">
        <v>6.08211241E8</v>
      </c>
      <c r="H832" s="1" t="s">
        <v>2023</v>
      </c>
      <c r="I832" s="2"/>
      <c r="J832" s="1" t="s">
        <v>2024</v>
      </c>
      <c r="K832" s="1">
        <v>150.0</v>
      </c>
      <c r="L832" s="1"/>
      <c r="M832" s="5">
        <v>96.77</v>
      </c>
    </row>
    <row r="833" ht="15.75" hidden="1" customHeight="1">
      <c r="A833" s="1" t="s">
        <v>2027</v>
      </c>
      <c r="B833" s="2">
        <v>1065.0</v>
      </c>
      <c r="C833" s="1" t="s">
        <v>1973</v>
      </c>
      <c r="D833" s="1" t="s">
        <v>2028</v>
      </c>
      <c r="E833" s="3">
        <v>45793.0</v>
      </c>
      <c r="F833" s="1" t="s">
        <v>3</v>
      </c>
      <c r="G833" s="4">
        <v>6.08211241E8</v>
      </c>
      <c r="H833" s="1" t="s">
        <v>2023</v>
      </c>
      <c r="I833" s="2"/>
      <c r="J833" s="1" t="s">
        <v>2024</v>
      </c>
      <c r="K833" s="1">
        <v>30.0</v>
      </c>
      <c r="L833" s="1"/>
      <c r="M833" s="5">
        <v>96.77</v>
      </c>
    </row>
    <row r="834" ht="15.75" hidden="1" customHeight="1">
      <c r="A834" s="1" t="s">
        <v>2029</v>
      </c>
      <c r="B834" s="2">
        <v>1130.0</v>
      </c>
      <c r="C834" s="1" t="s">
        <v>55</v>
      </c>
      <c r="D834" s="1" t="s">
        <v>2030</v>
      </c>
      <c r="E834" s="3">
        <v>45911.0</v>
      </c>
      <c r="F834" s="1" t="s">
        <v>3</v>
      </c>
      <c r="G834" s="4">
        <v>6.08211241E8</v>
      </c>
      <c r="H834" s="1" t="s">
        <v>2023</v>
      </c>
      <c r="I834" s="2"/>
      <c r="J834" s="1" t="s">
        <v>2024</v>
      </c>
      <c r="K834" s="1">
        <v>150.0</v>
      </c>
      <c r="L834" s="1"/>
      <c r="M834" s="5">
        <v>96.77</v>
      </c>
    </row>
    <row r="835" ht="15.75" hidden="1" customHeight="1">
      <c r="A835" s="1" t="s">
        <v>2031</v>
      </c>
      <c r="B835" s="2">
        <v>1076.0</v>
      </c>
      <c r="C835" s="1" t="s">
        <v>1973</v>
      </c>
      <c r="D835" s="1" t="s">
        <v>2032</v>
      </c>
      <c r="E835" s="3">
        <v>45860.0</v>
      </c>
      <c r="F835" s="1" t="s">
        <v>3</v>
      </c>
      <c r="G835" s="4">
        <v>6.08250241E8</v>
      </c>
      <c r="H835" s="1" t="s">
        <v>2033</v>
      </c>
      <c r="I835" s="2"/>
      <c r="J835" s="1" t="s">
        <v>1962</v>
      </c>
      <c r="K835" s="1">
        <v>150.0</v>
      </c>
      <c r="L835" s="1"/>
      <c r="M835" s="5">
        <v>96.77</v>
      </c>
    </row>
    <row r="836" ht="15.75" hidden="1" customHeight="1">
      <c r="A836" s="1" t="s">
        <v>2034</v>
      </c>
      <c r="B836" s="2">
        <v>1118.0</v>
      </c>
      <c r="C836" s="1" t="s">
        <v>1986</v>
      </c>
      <c r="D836" s="1" t="s">
        <v>2035</v>
      </c>
      <c r="E836" s="3">
        <v>45875.0</v>
      </c>
      <c r="F836" s="1" t="s">
        <v>3</v>
      </c>
      <c r="G836" s="4">
        <v>6.08250241E8</v>
      </c>
      <c r="H836" s="1" t="s">
        <v>2033</v>
      </c>
      <c r="I836" s="2"/>
      <c r="J836" s="1" t="s">
        <v>1962</v>
      </c>
      <c r="K836" s="1">
        <v>50.0</v>
      </c>
      <c r="L836" s="1"/>
      <c r="M836" s="5">
        <v>103.46</v>
      </c>
    </row>
    <row r="837" ht="15.75" hidden="1" customHeight="1">
      <c r="A837" s="1" t="s">
        <v>2036</v>
      </c>
      <c r="B837" s="2">
        <v>1119.0</v>
      </c>
      <c r="C837" s="1" t="s">
        <v>1986</v>
      </c>
      <c r="D837" s="1" t="s">
        <v>2037</v>
      </c>
      <c r="E837" s="3">
        <v>45875.0</v>
      </c>
      <c r="F837" s="1" t="s">
        <v>3</v>
      </c>
      <c r="G837" s="4">
        <v>6.08250241E8</v>
      </c>
      <c r="H837" s="1" t="s">
        <v>2033</v>
      </c>
      <c r="I837" s="2"/>
      <c r="J837" s="1" t="s">
        <v>1962</v>
      </c>
      <c r="K837" s="1">
        <v>50.0</v>
      </c>
      <c r="L837" s="1"/>
      <c r="M837" s="5">
        <v>103.46</v>
      </c>
    </row>
    <row r="838" ht="15.75" hidden="1" customHeight="1">
      <c r="A838" s="1" t="s">
        <v>2038</v>
      </c>
      <c r="B838" s="2">
        <v>1120.0</v>
      </c>
      <c r="C838" s="1" t="s">
        <v>1986</v>
      </c>
      <c r="D838" s="1" t="s">
        <v>2039</v>
      </c>
      <c r="E838" s="3">
        <v>45875.0</v>
      </c>
      <c r="F838" s="1" t="s">
        <v>3</v>
      </c>
      <c r="G838" s="4">
        <v>6.08250241E8</v>
      </c>
      <c r="H838" s="1" t="s">
        <v>2033</v>
      </c>
      <c r="I838" s="2"/>
      <c r="J838" s="1" t="s">
        <v>1962</v>
      </c>
      <c r="K838" s="1">
        <v>50.0</v>
      </c>
      <c r="L838" s="1"/>
      <c r="M838" s="5">
        <v>103.46</v>
      </c>
    </row>
    <row r="839" ht="15.75" hidden="1" customHeight="1">
      <c r="A839" s="1" t="s">
        <v>2040</v>
      </c>
      <c r="B839" s="2">
        <v>1024.0</v>
      </c>
      <c r="C839" s="1" t="s">
        <v>14</v>
      </c>
      <c r="D839" s="1" t="s">
        <v>2041</v>
      </c>
      <c r="E839" s="3">
        <v>45716.0</v>
      </c>
      <c r="F839" s="1" t="s">
        <v>3</v>
      </c>
      <c r="G839" s="4">
        <v>6.09025251E8</v>
      </c>
      <c r="H839" s="1" t="s">
        <v>2042</v>
      </c>
      <c r="I839" s="2"/>
      <c r="J839" s="1" t="s">
        <v>2043</v>
      </c>
      <c r="K839" s="1">
        <v>1500.0</v>
      </c>
      <c r="L839" s="1"/>
      <c r="M839" s="5">
        <v>103.46</v>
      </c>
    </row>
    <row r="840" ht="15.75" hidden="1" customHeight="1">
      <c r="A840" s="1" t="s">
        <v>2044</v>
      </c>
      <c r="B840" s="2">
        <v>565.0</v>
      </c>
      <c r="C840" s="1" t="s">
        <v>286</v>
      </c>
      <c r="D840" s="1" t="s">
        <v>2045</v>
      </c>
      <c r="E840" s="3">
        <v>45058.0</v>
      </c>
      <c r="F840" s="1" t="s">
        <v>3</v>
      </c>
      <c r="G840" s="4">
        <v>6.09067231E8</v>
      </c>
      <c r="H840" s="1" t="s">
        <v>2046</v>
      </c>
      <c r="I840" s="2"/>
      <c r="J840" s="1" t="s">
        <v>416</v>
      </c>
      <c r="K840" s="1">
        <v>500.0</v>
      </c>
      <c r="L840" s="1"/>
      <c r="M840" s="5">
        <v>105.0</v>
      </c>
    </row>
    <row r="841" ht="15.75" hidden="1" customHeight="1">
      <c r="A841" s="1" t="s">
        <v>2047</v>
      </c>
      <c r="B841" s="2">
        <v>871.0</v>
      </c>
      <c r="C841" s="1" t="s">
        <v>14</v>
      </c>
      <c r="D841" s="1" t="s">
        <v>2048</v>
      </c>
      <c r="E841" s="3">
        <v>45474.0</v>
      </c>
      <c r="F841" s="1" t="s">
        <v>3</v>
      </c>
      <c r="G841" s="4">
        <v>6.09084241E8</v>
      </c>
      <c r="H841" s="1" t="s">
        <v>2049</v>
      </c>
      <c r="I841" s="2"/>
      <c r="J841" s="1" t="s">
        <v>623</v>
      </c>
      <c r="K841" s="1">
        <v>1200.0</v>
      </c>
      <c r="L841" s="1"/>
      <c r="M841" s="5">
        <v>103.46</v>
      </c>
    </row>
    <row r="842" ht="15.75" hidden="1" customHeight="1">
      <c r="A842" s="1" t="s">
        <v>2050</v>
      </c>
      <c r="B842" s="2">
        <v>830.0</v>
      </c>
      <c r="C842" s="1" t="s">
        <v>194</v>
      </c>
      <c r="D842" s="1" t="s">
        <v>2051</v>
      </c>
      <c r="E842" s="3">
        <v>45408.0</v>
      </c>
      <c r="F842" s="1" t="s">
        <v>3</v>
      </c>
      <c r="G842" s="4">
        <v>6.09091241E8</v>
      </c>
      <c r="H842" s="1" t="s">
        <v>2052</v>
      </c>
      <c r="I842" s="2"/>
      <c r="J842" s="1" t="s">
        <v>2043</v>
      </c>
      <c r="K842" s="1">
        <v>10.0</v>
      </c>
      <c r="L842" s="1"/>
      <c r="M842" s="5">
        <v>103.62</v>
      </c>
    </row>
    <row r="843" ht="15.75" hidden="1" customHeight="1">
      <c r="A843" s="1" t="s">
        <v>2053</v>
      </c>
      <c r="B843" s="2">
        <v>627.0</v>
      </c>
      <c r="C843" s="1" t="s">
        <v>286</v>
      </c>
      <c r="D843" s="1" t="s">
        <v>2054</v>
      </c>
      <c r="E843" s="3">
        <v>45110.0</v>
      </c>
      <c r="F843" s="1" t="s">
        <v>3</v>
      </c>
      <c r="G843" s="4">
        <v>6.09093231E8</v>
      </c>
      <c r="H843" s="1" t="s">
        <v>2055</v>
      </c>
      <c r="I843" s="2"/>
      <c r="K843" s="1">
        <v>600.0</v>
      </c>
      <c r="L843" s="1"/>
      <c r="M843" s="5">
        <v>105.0</v>
      </c>
    </row>
    <row r="844" ht="15.75" hidden="1" customHeight="1">
      <c r="A844" s="1" t="s">
        <v>2056</v>
      </c>
      <c r="B844" s="2">
        <v>596.0</v>
      </c>
      <c r="C844" s="1" t="s">
        <v>194</v>
      </c>
      <c r="D844" s="1" t="s">
        <v>2057</v>
      </c>
      <c r="E844" s="3">
        <v>45112.0</v>
      </c>
      <c r="F844" s="1" t="s">
        <v>3</v>
      </c>
      <c r="G844" s="4">
        <v>6.09095231E8</v>
      </c>
      <c r="H844" s="1" t="s">
        <v>2058</v>
      </c>
      <c r="I844" s="2"/>
      <c r="J844" s="1" t="s">
        <v>1619</v>
      </c>
      <c r="K844" s="1">
        <v>5.0</v>
      </c>
      <c r="L844" s="1"/>
      <c r="M844" s="5">
        <v>98.0</v>
      </c>
    </row>
    <row r="845" ht="15.75" hidden="1" customHeight="1">
      <c r="A845" s="1" t="s">
        <v>2059</v>
      </c>
      <c r="B845" s="2">
        <v>1121.0</v>
      </c>
      <c r="C845" s="1" t="s">
        <v>14</v>
      </c>
      <c r="D845" s="1" t="s">
        <v>2060</v>
      </c>
      <c r="E845" s="3">
        <v>45875.0</v>
      </c>
      <c r="F845" s="1" t="s">
        <v>3</v>
      </c>
      <c r="G845" s="4">
        <v>6.09106251E8</v>
      </c>
      <c r="H845" s="1" t="s">
        <v>2061</v>
      </c>
      <c r="I845" s="2"/>
      <c r="J845" s="1" t="s">
        <v>2043</v>
      </c>
      <c r="K845" s="1">
        <v>1000.0</v>
      </c>
      <c r="L845" s="1"/>
      <c r="M845" s="5">
        <v>103.46</v>
      </c>
    </row>
    <row r="846" ht="15.75" hidden="1" customHeight="1">
      <c r="A846" s="1" t="s">
        <v>2062</v>
      </c>
      <c r="B846" s="2">
        <v>658.0</v>
      </c>
      <c r="C846" s="1" t="s">
        <v>14</v>
      </c>
      <c r="D846" s="1" t="s">
        <v>2063</v>
      </c>
      <c r="E846" s="3">
        <v>45141.0</v>
      </c>
      <c r="F846" s="1" t="s">
        <v>3</v>
      </c>
      <c r="G846" s="4">
        <v>6.09109231E8</v>
      </c>
      <c r="H846" s="1" t="s">
        <v>2064</v>
      </c>
      <c r="I846" s="2"/>
      <c r="J846" s="1" t="s">
        <v>416</v>
      </c>
      <c r="K846" s="1">
        <v>2500.0</v>
      </c>
      <c r="L846" s="1"/>
      <c r="M846" s="5">
        <v>103.46</v>
      </c>
    </row>
    <row r="847" ht="15.75" hidden="1" customHeight="1">
      <c r="A847" s="1" t="s">
        <v>2065</v>
      </c>
      <c r="B847" s="2">
        <v>720.0</v>
      </c>
      <c r="C847" s="1" t="s">
        <v>890</v>
      </c>
      <c r="D847" s="1" t="s">
        <v>2066</v>
      </c>
      <c r="E847" s="3">
        <v>45252.0</v>
      </c>
      <c r="F847" s="1" t="s">
        <v>3</v>
      </c>
      <c r="G847" s="4">
        <v>6.09141231E8</v>
      </c>
      <c r="H847" s="1" t="s">
        <v>2067</v>
      </c>
      <c r="I847" s="2"/>
      <c r="J847" s="1" t="s">
        <v>2043</v>
      </c>
      <c r="K847" s="1">
        <v>75.0</v>
      </c>
      <c r="L847" s="1"/>
      <c r="M847" s="5">
        <v>134.14</v>
      </c>
    </row>
    <row r="848" ht="15.75" hidden="1" customHeight="1">
      <c r="A848" s="1" t="s">
        <v>2068</v>
      </c>
      <c r="B848" s="2">
        <v>711.0</v>
      </c>
      <c r="C848" s="1" t="s">
        <v>194</v>
      </c>
      <c r="D848" s="1" t="s">
        <v>2069</v>
      </c>
      <c r="E848" s="3">
        <v>45224.0</v>
      </c>
      <c r="F848" s="1" t="s">
        <v>3</v>
      </c>
      <c r="G848" s="4">
        <v>6.09143231E8</v>
      </c>
      <c r="H848" s="1" t="s">
        <v>2070</v>
      </c>
      <c r="I848" s="2"/>
      <c r="J848" s="1" t="s">
        <v>2043</v>
      </c>
      <c r="K848" s="1">
        <v>5.0</v>
      </c>
      <c r="L848" s="1"/>
      <c r="M848" s="5">
        <v>98.0</v>
      </c>
    </row>
    <row r="849" ht="15.75" hidden="1" customHeight="1">
      <c r="A849" s="1" t="s">
        <v>2071</v>
      </c>
      <c r="B849" s="2">
        <v>1126.0</v>
      </c>
      <c r="C849" s="1" t="s">
        <v>103</v>
      </c>
      <c r="D849" s="1" t="s">
        <v>2072</v>
      </c>
      <c r="E849" s="3">
        <v>45904.0</v>
      </c>
      <c r="F849" s="1" t="s">
        <v>3</v>
      </c>
      <c r="G849" s="4">
        <v>6.09152251E8</v>
      </c>
      <c r="H849" s="1" t="s">
        <v>2073</v>
      </c>
      <c r="I849" s="2"/>
      <c r="J849" s="1" t="s">
        <v>2043</v>
      </c>
      <c r="K849" s="1">
        <v>30.0</v>
      </c>
      <c r="L849" s="1"/>
      <c r="M849" s="5">
        <v>117.01</v>
      </c>
    </row>
    <row r="850" ht="15.75" hidden="1" customHeight="1">
      <c r="A850" s="1" t="s">
        <v>2074</v>
      </c>
      <c r="B850" s="2">
        <v>1140.0</v>
      </c>
      <c r="C850" s="1" t="s">
        <v>103</v>
      </c>
      <c r="D850" s="1" t="s">
        <v>2075</v>
      </c>
      <c r="E850" s="3">
        <v>45911.0</v>
      </c>
      <c r="F850" s="1" t="s">
        <v>3</v>
      </c>
      <c r="G850" s="4">
        <v>6.09152251E8</v>
      </c>
      <c r="H850" s="1" t="s">
        <v>2073</v>
      </c>
      <c r="I850" s="2"/>
      <c r="J850" s="1" t="s">
        <v>2043</v>
      </c>
      <c r="K850" s="1">
        <v>20.0</v>
      </c>
      <c r="L850" s="1"/>
      <c r="M850" s="5">
        <v>117.01</v>
      </c>
    </row>
    <row r="851" ht="15.75" hidden="1" customHeight="1">
      <c r="A851" s="1" t="s">
        <v>2076</v>
      </c>
      <c r="B851" s="2">
        <v>926.0</v>
      </c>
      <c r="C851" s="1" t="s">
        <v>2077</v>
      </c>
      <c r="D851" s="1" t="s">
        <v>2078</v>
      </c>
      <c r="E851" s="3">
        <v>45554.0</v>
      </c>
      <c r="F851" s="1" t="s">
        <v>3</v>
      </c>
      <c r="G851" s="4">
        <v>6.09180241E8</v>
      </c>
      <c r="H851" s="1" t="s">
        <v>2079</v>
      </c>
      <c r="I851" s="2"/>
      <c r="J851" s="1" t="s">
        <v>2043</v>
      </c>
      <c r="K851" s="1">
        <v>250.0</v>
      </c>
      <c r="L851" s="1"/>
      <c r="M851" s="5">
        <v>108.09</v>
      </c>
    </row>
    <row r="852" ht="15.75" hidden="1" customHeight="1">
      <c r="A852" s="1" t="s">
        <v>2080</v>
      </c>
      <c r="B852" s="2">
        <v>1158.0</v>
      </c>
      <c r="C852" s="1" t="s">
        <v>14</v>
      </c>
      <c r="D852" s="1" t="s">
        <v>2081</v>
      </c>
      <c r="E852" s="3">
        <v>45972.0</v>
      </c>
      <c r="F852" s="1" t="s">
        <v>3</v>
      </c>
      <c r="G852" s="4">
        <v>6.09186251E8</v>
      </c>
      <c r="H852" s="1" t="s">
        <v>2082</v>
      </c>
      <c r="I852" s="2"/>
      <c r="J852" s="1" t="s">
        <v>2043</v>
      </c>
      <c r="K852" s="1">
        <v>2000.0</v>
      </c>
      <c r="L852" s="1"/>
      <c r="M852" s="5">
        <v>103.46</v>
      </c>
    </row>
    <row r="853" ht="15.75" hidden="1" customHeight="1">
      <c r="A853" s="1" t="s">
        <v>2083</v>
      </c>
      <c r="B853" s="2">
        <v>1156.0</v>
      </c>
      <c r="C853" s="1" t="s">
        <v>103</v>
      </c>
      <c r="D853" s="1" t="s">
        <v>2084</v>
      </c>
      <c r="E853" s="3">
        <v>45939.0</v>
      </c>
      <c r="F853" s="1" t="s">
        <v>3</v>
      </c>
      <c r="G853" s="4">
        <v>6.09192251E8</v>
      </c>
      <c r="H853" s="1" t="s">
        <v>2085</v>
      </c>
      <c r="I853" s="2"/>
      <c r="J853" s="1" t="s">
        <v>2043</v>
      </c>
      <c r="K853" s="1">
        <v>20.0</v>
      </c>
      <c r="L853" s="1"/>
      <c r="M853" s="5">
        <v>117.1</v>
      </c>
    </row>
    <row r="854" ht="15.75" hidden="1" customHeight="1">
      <c r="A854" s="1" t="s">
        <v>2086</v>
      </c>
      <c r="B854" s="2">
        <v>963.0</v>
      </c>
      <c r="C854" s="1" t="s">
        <v>14</v>
      </c>
      <c r="D854" s="1" t="s">
        <v>2087</v>
      </c>
      <c r="E854" s="3">
        <v>45603.0</v>
      </c>
      <c r="F854" s="1" t="s">
        <v>3</v>
      </c>
      <c r="G854" s="4">
        <v>6.09212241E8</v>
      </c>
      <c r="H854" s="1" t="s">
        <v>2088</v>
      </c>
      <c r="I854" s="2"/>
      <c r="J854" s="1" t="s">
        <v>2043</v>
      </c>
      <c r="K854" s="1">
        <v>1500.0</v>
      </c>
      <c r="L854" s="1"/>
      <c r="M854" s="5">
        <v>103.46</v>
      </c>
    </row>
    <row r="855" ht="15.75" hidden="1" customHeight="1">
      <c r="A855" s="1" t="s">
        <v>2089</v>
      </c>
      <c r="B855" s="2">
        <v>976.0</v>
      </c>
      <c r="C855" s="1" t="s">
        <v>14</v>
      </c>
      <c r="D855" s="1" t="s">
        <v>2087</v>
      </c>
      <c r="E855" s="3">
        <v>45646.0</v>
      </c>
      <c r="F855" s="1" t="s">
        <v>3</v>
      </c>
      <c r="G855" s="4">
        <v>6.09212241E8</v>
      </c>
      <c r="H855" s="1" t="s">
        <v>2088</v>
      </c>
      <c r="I855" s="2"/>
      <c r="J855" s="1" t="s">
        <v>2043</v>
      </c>
      <c r="K855" s="1">
        <v>1500.0</v>
      </c>
      <c r="L855" s="1"/>
      <c r="M855" s="5">
        <v>103.46</v>
      </c>
    </row>
    <row r="856" ht="15.75" hidden="1" customHeight="1">
      <c r="A856" s="1" t="s">
        <v>2090</v>
      </c>
      <c r="B856" s="2">
        <v>956.0</v>
      </c>
      <c r="C856" s="1" t="s">
        <v>103</v>
      </c>
      <c r="D856" s="1" t="s">
        <v>2091</v>
      </c>
      <c r="E856" s="3">
        <v>45602.0</v>
      </c>
      <c r="F856" s="1" t="s">
        <v>3</v>
      </c>
      <c r="G856" s="4">
        <v>6.09218241E8</v>
      </c>
      <c r="H856" s="1" t="s">
        <v>2092</v>
      </c>
      <c r="I856" s="2"/>
      <c r="J856" s="1" t="s">
        <v>2043</v>
      </c>
      <c r="K856" s="1">
        <v>2.0</v>
      </c>
      <c r="L856" s="1"/>
      <c r="M856" s="5">
        <v>111.0</v>
      </c>
    </row>
    <row r="857" ht="15.75" hidden="1" customHeight="1">
      <c r="A857" s="1" t="s">
        <v>2093</v>
      </c>
      <c r="B857" s="2">
        <v>960.0</v>
      </c>
      <c r="C857" s="1" t="s">
        <v>103</v>
      </c>
      <c r="D857" s="1" t="s">
        <v>2094</v>
      </c>
      <c r="E857" s="3">
        <v>45602.0</v>
      </c>
      <c r="F857" s="1" t="s">
        <v>3</v>
      </c>
      <c r="G857" s="4">
        <v>6.09218241E8</v>
      </c>
      <c r="H857" s="1" t="s">
        <v>2092</v>
      </c>
      <c r="I857" s="2"/>
      <c r="J857" s="1" t="s">
        <v>2043</v>
      </c>
      <c r="K857" s="1">
        <v>2.0</v>
      </c>
      <c r="L857" s="1"/>
      <c r="M857" s="5">
        <v>111.0</v>
      </c>
    </row>
    <row r="858" ht="15.75" hidden="1" customHeight="1">
      <c r="A858" s="1" t="s">
        <v>2095</v>
      </c>
      <c r="B858" s="2">
        <v>964.0</v>
      </c>
      <c r="C858" s="1" t="s">
        <v>890</v>
      </c>
      <c r="D858" s="1" t="s">
        <v>2096</v>
      </c>
      <c r="E858" s="3">
        <v>45603.0</v>
      </c>
      <c r="F858" s="1" t="s">
        <v>3</v>
      </c>
      <c r="G858" s="4">
        <v>6.09227241E8</v>
      </c>
      <c r="H858" s="1" t="s">
        <v>2097</v>
      </c>
      <c r="I858" s="2"/>
      <c r="J858" s="1" t="s">
        <v>2043</v>
      </c>
      <c r="K858" s="1">
        <v>25.0</v>
      </c>
      <c r="L858" s="1"/>
      <c r="M858" s="5">
        <v>117.9</v>
      </c>
    </row>
    <row r="859" ht="15.75" hidden="1" customHeight="1">
      <c r="A859" s="1" t="s">
        <v>2098</v>
      </c>
      <c r="B859" s="2">
        <v>760.0</v>
      </c>
      <c r="C859" s="1" t="s">
        <v>449</v>
      </c>
      <c r="D859" s="1" t="s">
        <v>2099</v>
      </c>
      <c r="E859" s="3">
        <v>45306.0</v>
      </c>
      <c r="F859" s="1" t="s">
        <v>3</v>
      </c>
      <c r="G859" s="4">
        <v>6.12002241E8</v>
      </c>
      <c r="H859" s="1" t="s">
        <v>2100</v>
      </c>
      <c r="I859" s="2"/>
      <c r="J859" s="1" t="s">
        <v>2101</v>
      </c>
      <c r="K859" s="1">
        <v>125.0</v>
      </c>
      <c r="L859" s="1"/>
      <c r="M859" s="5">
        <v>108.0</v>
      </c>
    </row>
    <row r="860" ht="15.75" hidden="1" customHeight="1">
      <c r="A860" s="1" t="s">
        <v>2102</v>
      </c>
      <c r="B860" s="2">
        <v>764.0</v>
      </c>
      <c r="C860" s="1" t="s">
        <v>449</v>
      </c>
      <c r="D860" s="1" t="s">
        <v>2103</v>
      </c>
      <c r="E860" s="3">
        <v>45322.0</v>
      </c>
      <c r="F860" s="1" t="s">
        <v>3</v>
      </c>
      <c r="G860" s="4">
        <v>6.12002241E8</v>
      </c>
      <c r="H860" s="1" t="s">
        <v>2100</v>
      </c>
      <c r="I860" s="2"/>
      <c r="J860" s="1" t="s">
        <v>2101</v>
      </c>
      <c r="K860" s="1">
        <v>125.0</v>
      </c>
      <c r="L860" s="1"/>
      <c r="M860" s="5">
        <v>108.0</v>
      </c>
    </row>
    <row r="861" ht="15.75" hidden="1" customHeight="1">
      <c r="A861" s="1" t="s">
        <v>2104</v>
      </c>
      <c r="B861" s="2">
        <v>765.0</v>
      </c>
      <c r="C861" s="1" t="s">
        <v>219</v>
      </c>
      <c r="D861" s="1" t="s">
        <v>2105</v>
      </c>
      <c r="E861" s="3">
        <v>45322.0</v>
      </c>
      <c r="F861" s="1" t="s">
        <v>3</v>
      </c>
      <c r="G861" s="4">
        <v>6.12002241E8</v>
      </c>
      <c r="H861" s="1" t="s">
        <v>2100</v>
      </c>
      <c r="I861" s="2"/>
      <c r="J861" s="1" t="s">
        <v>2101</v>
      </c>
      <c r="K861" s="1">
        <v>26.0</v>
      </c>
      <c r="L861" s="1"/>
      <c r="M861" s="5">
        <v>119.46</v>
      </c>
    </row>
    <row r="862" ht="15.75" hidden="1" customHeight="1">
      <c r="A862" s="1" t="s">
        <v>1673</v>
      </c>
      <c r="B862" s="2">
        <v>767.0</v>
      </c>
      <c r="C862" s="1" t="s">
        <v>1264</v>
      </c>
      <c r="D862" s="1" t="s">
        <v>1674</v>
      </c>
      <c r="E862" s="3">
        <v>45322.0</v>
      </c>
      <c r="F862" s="1" t="s">
        <v>3</v>
      </c>
      <c r="G862" s="4">
        <v>6.12006241E8</v>
      </c>
      <c r="H862" s="1" t="s">
        <v>2106</v>
      </c>
      <c r="I862" s="2"/>
      <c r="J862" s="1" t="s">
        <v>2101</v>
      </c>
      <c r="K862" s="1">
        <v>1000.0</v>
      </c>
      <c r="L862" s="1"/>
      <c r="M862" s="5">
        <v>115.0</v>
      </c>
    </row>
    <row r="863" ht="15.75" hidden="1" customHeight="1">
      <c r="A863" s="1" t="s">
        <v>2107</v>
      </c>
      <c r="B863" s="2">
        <v>995.0</v>
      </c>
      <c r="C863" s="1" t="s">
        <v>173</v>
      </c>
      <c r="D863" s="1" t="s">
        <v>2108</v>
      </c>
      <c r="E863" s="3">
        <v>45698.0</v>
      </c>
      <c r="F863" s="1" t="s">
        <v>3</v>
      </c>
      <c r="G863" s="4">
        <v>6.12013251E8</v>
      </c>
      <c r="H863" s="1" t="s">
        <v>2109</v>
      </c>
      <c r="I863" s="2"/>
      <c r="J863" s="1" t="s">
        <v>2110</v>
      </c>
      <c r="K863" s="1">
        <v>200.0</v>
      </c>
      <c r="L863" s="1"/>
      <c r="M863" s="5">
        <v>95.0</v>
      </c>
    </row>
    <row r="864" ht="15.75" hidden="1" customHeight="1">
      <c r="A864" s="1" t="s">
        <v>2111</v>
      </c>
      <c r="B864" s="2">
        <v>776.0</v>
      </c>
      <c r="C864" s="1" t="s">
        <v>432</v>
      </c>
      <c r="D864" s="1" t="s">
        <v>2112</v>
      </c>
      <c r="E864" s="3">
        <v>45335.0</v>
      </c>
      <c r="F864" s="1" t="s">
        <v>3</v>
      </c>
      <c r="G864" s="4">
        <v>6.12017241E8</v>
      </c>
      <c r="H864" s="1" t="s">
        <v>2113</v>
      </c>
      <c r="I864" s="2"/>
      <c r="J864" s="1" t="s">
        <v>2101</v>
      </c>
      <c r="K864" s="1">
        <v>300.0</v>
      </c>
      <c r="L864" s="1"/>
      <c r="M864" s="5">
        <v>101.18</v>
      </c>
    </row>
    <row r="865" ht="15.75" hidden="1" customHeight="1">
      <c r="A865" s="1" t="s">
        <v>2114</v>
      </c>
      <c r="B865" s="2">
        <v>774.0</v>
      </c>
      <c r="C865" s="1" t="s">
        <v>50</v>
      </c>
      <c r="D865" s="1" t="s">
        <v>2115</v>
      </c>
      <c r="E865" s="3">
        <v>45335.0</v>
      </c>
      <c r="F865" s="1" t="s">
        <v>3</v>
      </c>
      <c r="G865" s="4">
        <v>6.12018241E8</v>
      </c>
      <c r="H865" s="1" t="s">
        <v>2116</v>
      </c>
      <c r="I865" s="2"/>
      <c r="J865" s="1" t="s">
        <v>2101</v>
      </c>
      <c r="K865" s="1">
        <v>100.0</v>
      </c>
      <c r="L865" s="1"/>
      <c r="M865" s="5">
        <v>170.0</v>
      </c>
    </row>
    <row r="866" ht="15.75" hidden="1" customHeight="1">
      <c r="A866" s="1" t="s">
        <v>2117</v>
      </c>
      <c r="B866" s="2">
        <v>771.0</v>
      </c>
      <c r="C866" s="1" t="s">
        <v>1037</v>
      </c>
      <c r="D866" s="1" t="s">
        <v>2118</v>
      </c>
      <c r="E866" s="3">
        <v>45328.0</v>
      </c>
      <c r="F866" s="1" t="s">
        <v>3</v>
      </c>
      <c r="G866" s="4">
        <v>6.12019241E8</v>
      </c>
      <c r="H866" s="1" t="s">
        <v>2119</v>
      </c>
      <c r="I866" s="2"/>
      <c r="J866" s="1" t="s">
        <v>2101</v>
      </c>
      <c r="K866" s="1">
        <v>1.0</v>
      </c>
      <c r="L866" s="1"/>
      <c r="M866" s="5">
        <v>142.24</v>
      </c>
    </row>
    <row r="867" ht="15.75" hidden="1" customHeight="1">
      <c r="A867" s="1" t="s">
        <v>2120</v>
      </c>
      <c r="B867" s="2">
        <v>805.0</v>
      </c>
      <c r="C867" s="1" t="s">
        <v>173</v>
      </c>
      <c r="D867" s="1" t="s">
        <v>2121</v>
      </c>
      <c r="E867" s="3">
        <v>45370.0</v>
      </c>
      <c r="F867" s="1" t="s">
        <v>3</v>
      </c>
      <c r="G867" s="4">
        <v>6.12057241E8</v>
      </c>
      <c r="H867" s="1" t="s">
        <v>2122</v>
      </c>
      <c r="I867" s="2"/>
      <c r="J867" s="1" t="s">
        <v>2101</v>
      </c>
      <c r="K867" s="1">
        <v>200.0</v>
      </c>
      <c r="L867" s="1"/>
      <c r="M867" s="5">
        <v>108.56</v>
      </c>
    </row>
    <row r="868" ht="15.75" hidden="1" customHeight="1">
      <c r="A868" s="1" t="s">
        <v>2123</v>
      </c>
      <c r="B868" s="2">
        <v>563.0</v>
      </c>
      <c r="C868" s="1" t="s">
        <v>50</v>
      </c>
      <c r="D868" s="1" t="s">
        <v>2124</v>
      </c>
      <c r="E868" s="3">
        <v>45044.0</v>
      </c>
      <c r="F868" s="1" t="s">
        <v>3</v>
      </c>
      <c r="G868" s="4">
        <v>6.12074231E8</v>
      </c>
      <c r="H868" s="1" t="s">
        <v>2125</v>
      </c>
      <c r="I868" s="2"/>
      <c r="J868" s="1" t="s">
        <v>623</v>
      </c>
      <c r="K868" s="1">
        <v>100.0</v>
      </c>
      <c r="L868" s="1"/>
      <c r="M868" s="5">
        <v>170.0</v>
      </c>
    </row>
    <row r="869" ht="15.75" hidden="1" customHeight="1">
      <c r="A869" s="1" t="s">
        <v>2126</v>
      </c>
      <c r="B869" s="2">
        <v>569.0</v>
      </c>
      <c r="C869" s="1" t="s">
        <v>432</v>
      </c>
      <c r="D869" s="1" t="s">
        <v>2127</v>
      </c>
      <c r="E869" s="3">
        <v>45063.0</v>
      </c>
      <c r="F869" s="1" t="s">
        <v>3</v>
      </c>
      <c r="G869" s="4">
        <v>6.12079231E8</v>
      </c>
      <c r="H869" s="1" t="s">
        <v>2128</v>
      </c>
      <c r="I869" s="2"/>
      <c r="J869" s="1" t="s">
        <v>416</v>
      </c>
      <c r="K869" s="1">
        <v>500.0</v>
      </c>
      <c r="L869" s="1"/>
      <c r="M869" s="5">
        <v>101.18</v>
      </c>
    </row>
    <row r="870" ht="15.75" hidden="1" customHeight="1">
      <c r="A870" s="1" t="s">
        <v>2129</v>
      </c>
      <c r="B870" s="2">
        <v>916.0</v>
      </c>
      <c r="C870" s="1" t="s">
        <v>472</v>
      </c>
      <c r="D870" s="1" t="s">
        <v>2130</v>
      </c>
      <c r="E870" s="3">
        <v>45541.0</v>
      </c>
      <c r="F870" s="1" t="s">
        <v>3</v>
      </c>
      <c r="G870" s="4">
        <v>6.12099241E8</v>
      </c>
      <c r="H870" s="1" t="s">
        <v>2131</v>
      </c>
      <c r="I870" s="2"/>
      <c r="J870" s="1" t="s">
        <v>2101</v>
      </c>
      <c r="K870" s="1">
        <v>150.0</v>
      </c>
      <c r="L870" s="1"/>
      <c r="M870" s="5">
        <v>101.81</v>
      </c>
    </row>
    <row r="871" ht="15.75" hidden="1" customHeight="1">
      <c r="A871" s="1" t="s">
        <v>2132</v>
      </c>
      <c r="B871" s="2">
        <v>879.0</v>
      </c>
      <c r="C871" s="1" t="s">
        <v>422</v>
      </c>
      <c r="D871" s="1" t="s">
        <v>2133</v>
      </c>
      <c r="E871" s="3">
        <v>45492.0</v>
      </c>
      <c r="F871" s="1" t="s">
        <v>3</v>
      </c>
      <c r="G871" s="4">
        <v>6.12109241E8</v>
      </c>
      <c r="H871" s="1" t="s">
        <v>2134</v>
      </c>
      <c r="I871" s="2"/>
      <c r="J871" s="1" t="s">
        <v>416</v>
      </c>
      <c r="K871" s="1">
        <v>1000.0</v>
      </c>
      <c r="L871" s="1"/>
      <c r="M871" s="5">
        <v>126.28</v>
      </c>
    </row>
    <row r="872" ht="15.75" hidden="1" customHeight="1">
      <c r="A872" s="1" t="s">
        <v>2135</v>
      </c>
      <c r="B872" s="2">
        <v>942.0</v>
      </c>
      <c r="C872" s="1" t="s">
        <v>422</v>
      </c>
      <c r="D872" s="1" t="s">
        <v>2136</v>
      </c>
      <c r="E872" s="3">
        <v>45580.0</v>
      </c>
      <c r="F872" s="1" t="s">
        <v>3</v>
      </c>
      <c r="G872" s="4">
        <v>6.12109241E8</v>
      </c>
      <c r="H872" s="1" t="s">
        <v>2134</v>
      </c>
      <c r="I872" s="2"/>
      <c r="J872" s="1" t="s">
        <v>2101</v>
      </c>
      <c r="K872" s="1">
        <v>800.0</v>
      </c>
      <c r="L872" s="1"/>
      <c r="M872" s="5">
        <v>126.74</v>
      </c>
    </row>
    <row r="873" ht="15.75" hidden="1" customHeight="1">
      <c r="A873" s="1" t="s">
        <v>2137</v>
      </c>
      <c r="B873" s="2">
        <v>684.0</v>
      </c>
      <c r="C873" s="1" t="s">
        <v>1264</v>
      </c>
      <c r="D873" s="1" t="s">
        <v>2138</v>
      </c>
      <c r="E873" s="3">
        <v>45180.0</v>
      </c>
      <c r="F873" s="1" t="s">
        <v>3</v>
      </c>
      <c r="G873" s="4">
        <v>6.12123231E8</v>
      </c>
      <c r="H873" s="1" t="s">
        <v>2139</v>
      </c>
      <c r="I873" s="2"/>
      <c r="J873" s="1" t="s">
        <v>623</v>
      </c>
      <c r="K873" s="1">
        <v>500.0</v>
      </c>
      <c r="L873" s="1"/>
      <c r="M873" s="5">
        <v>97.64</v>
      </c>
    </row>
    <row r="874" ht="15.75" hidden="1" customHeight="1">
      <c r="A874" s="1" t="s">
        <v>2140</v>
      </c>
      <c r="B874" s="2">
        <v>1095.0</v>
      </c>
      <c r="C874" s="1" t="s">
        <v>173</v>
      </c>
      <c r="D874" s="1" t="s">
        <v>2141</v>
      </c>
      <c r="E874" s="3">
        <v>45862.0</v>
      </c>
      <c r="F874" s="1" t="s">
        <v>3</v>
      </c>
      <c r="G874" s="4">
        <v>6.12123251E8</v>
      </c>
      <c r="H874" s="1" t="s">
        <v>2142</v>
      </c>
      <c r="I874" s="2"/>
      <c r="J874" s="1" t="s">
        <v>2101</v>
      </c>
      <c r="K874" s="1">
        <v>181.0</v>
      </c>
      <c r="L874" s="1"/>
      <c r="M874" s="5">
        <v>95.0</v>
      </c>
    </row>
    <row r="875" ht="15.75" hidden="1" customHeight="1">
      <c r="A875" s="1" t="s">
        <v>2143</v>
      </c>
      <c r="B875" s="2">
        <v>685.0</v>
      </c>
      <c r="C875" s="1" t="s">
        <v>50</v>
      </c>
      <c r="D875" s="1" t="s">
        <v>2144</v>
      </c>
      <c r="E875" s="3">
        <v>45180.0</v>
      </c>
      <c r="F875" s="1" t="s">
        <v>3</v>
      </c>
      <c r="G875" s="4">
        <v>6.12126231E8</v>
      </c>
      <c r="H875" s="1" t="s">
        <v>2145</v>
      </c>
      <c r="I875" s="2"/>
      <c r="J875" s="1" t="s">
        <v>2101</v>
      </c>
      <c r="K875" s="1">
        <v>100.0</v>
      </c>
      <c r="L875" s="1"/>
      <c r="M875" s="5">
        <v>170.0</v>
      </c>
    </row>
    <row r="876" ht="15.75" hidden="1" customHeight="1">
      <c r="A876" s="1" t="s">
        <v>2146</v>
      </c>
      <c r="B876" s="2">
        <v>890.0</v>
      </c>
      <c r="C876" s="1" t="s">
        <v>50</v>
      </c>
      <c r="D876" s="1" t="s">
        <v>2147</v>
      </c>
      <c r="E876" s="3">
        <v>45506.0</v>
      </c>
      <c r="F876" s="1" t="s">
        <v>3</v>
      </c>
      <c r="G876" s="4">
        <v>6.12150241E8</v>
      </c>
      <c r="H876" s="1" t="s">
        <v>2148</v>
      </c>
      <c r="I876" s="2"/>
      <c r="J876" s="1" t="s">
        <v>2101</v>
      </c>
      <c r="K876" s="1">
        <v>100.0</v>
      </c>
      <c r="L876" s="1"/>
      <c r="M876" s="5">
        <v>170.0</v>
      </c>
    </row>
    <row r="877" ht="15.75" hidden="1" customHeight="1">
      <c r="A877" s="1" t="s">
        <v>2149</v>
      </c>
      <c r="B877" s="2">
        <v>1144.0</v>
      </c>
      <c r="C877" s="1" t="s">
        <v>472</v>
      </c>
      <c r="D877" s="1" t="s">
        <v>2150</v>
      </c>
      <c r="E877" s="3">
        <v>45911.0</v>
      </c>
      <c r="F877" s="1" t="s">
        <v>3</v>
      </c>
      <c r="G877" s="4">
        <v>6.12168251E8</v>
      </c>
      <c r="H877" s="1" t="s">
        <v>2151</v>
      </c>
      <c r="I877" s="2"/>
      <c r="J877" s="1" t="s">
        <v>2101</v>
      </c>
      <c r="K877" s="1">
        <v>150.0</v>
      </c>
      <c r="L877" s="1"/>
      <c r="M877" s="5">
        <v>101.81</v>
      </c>
    </row>
    <row r="878" ht="15.75" hidden="1" customHeight="1">
      <c r="A878" s="1" t="s">
        <v>2152</v>
      </c>
      <c r="B878" s="2">
        <v>747.0</v>
      </c>
      <c r="C878" s="1" t="s">
        <v>399</v>
      </c>
      <c r="D878" s="1" t="s">
        <v>2153</v>
      </c>
      <c r="E878" s="3">
        <v>45299.0</v>
      </c>
      <c r="F878" s="1" t="s">
        <v>3</v>
      </c>
      <c r="G878" s="4">
        <v>6.12176231E8</v>
      </c>
      <c r="H878" s="1" t="s">
        <v>2154</v>
      </c>
      <c r="I878" s="2"/>
      <c r="J878" s="1" t="s">
        <v>2101</v>
      </c>
      <c r="K878" s="1">
        <v>1000.0</v>
      </c>
      <c r="L878" s="1"/>
      <c r="M878" s="5">
        <v>113.0</v>
      </c>
    </row>
    <row r="879" ht="15.75" hidden="1" customHeight="1">
      <c r="A879" s="1" t="s">
        <v>2155</v>
      </c>
      <c r="B879" s="2">
        <v>914.0</v>
      </c>
      <c r="C879" s="1" t="s">
        <v>1264</v>
      </c>
      <c r="D879" s="1" t="s">
        <v>2156</v>
      </c>
      <c r="E879" s="3">
        <v>45538.0</v>
      </c>
      <c r="F879" s="1" t="s">
        <v>3</v>
      </c>
      <c r="G879" s="4">
        <v>6.12181241E8</v>
      </c>
      <c r="H879" s="1" t="s">
        <v>2157</v>
      </c>
      <c r="I879" s="2"/>
      <c r="J879" s="1" t="s">
        <v>2101</v>
      </c>
      <c r="K879" s="1">
        <v>100.0</v>
      </c>
      <c r="L879" s="1"/>
      <c r="M879" s="5">
        <v>95.0</v>
      </c>
    </row>
    <row r="880" ht="15.75" customHeight="1">
      <c r="A880" s="6" t="s">
        <v>2158</v>
      </c>
      <c r="B880" s="12" t="s">
        <v>2159</v>
      </c>
      <c r="C880" s="6" t="s">
        <v>2160</v>
      </c>
      <c r="D880" s="6" t="s">
        <v>2161</v>
      </c>
      <c r="E880" s="3"/>
      <c r="F880" s="1"/>
      <c r="G880" s="13" t="s">
        <v>2162</v>
      </c>
      <c r="H880" s="6" t="s">
        <v>2163</v>
      </c>
      <c r="I880" s="2"/>
      <c r="J880" s="6" t="s">
        <v>2164</v>
      </c>
      <c r="K880" s="6" t="s">
        <v>2165</v>
      </c>
      <c r="L880" s="1" t="s">
        <v>2166</v>
      </c>
      <c r="M880" s="14" t="s">
        <v>2167</v>
      </c>
      <c r="N880" s="15" t="s">
        <v>2168</v>
      </c>
      <c r="O880" s="15" t="s">
        <v>2169</v>
      </c>
      <c r="P880" s="15" t="s">
        <v>2170</v>
      </c>
    </row>
    <row r="881" ht="15.75" customHeight="1">
      <c r="A881" s="16" t="s">
        <v>2171</v>
      </c>
      <c r="B881" s="17">
        <v>752.0</v>
      </c>
      <c r="C881" s="16" t="s">
        <v>472</v>
      </c>
      <c r="D881" s="16" t="s">
        <v>2172</v>
      </c>
      <c r="E881" s="18">
        <v>45306.0</v>
      </c>
      <c r="F881" s="16" t="s">
        <v>3</v>
      </c>
      <c r="G881" s="19">
        <v>6.12185231E8</v>
      </c>
      <c r="H881" s="16" t="s">
        <v>2173</v>
      </c>
      <c r="I881" s="20">
        <v>307.0</v>
      </c>
      <c r="J881" s="16" t="s">
        <v>2101</v>
      </c>
      <c r="K881" s="16">
        <v>150.0</v>
      </c>
      <c r="L881" s="16">
        <v>150.0</v>
      </c>
      <c r="M881" s="21">
        <v>101.81</v>
      </c>
      <c r="N881" s="22">
        <f t="shared" ref="N881:N1160" si="1">M881*K881</f>
        <v>15271.5</v>
      </c>
      <c r="O881" s="15" t="s">
        <v>2174</v>
      </c>
      <c r="P881" s="15" t="s">
        <v>2175</v>
      </c>
    </row>
    <row r="882" ht="15.75" customHeight="1">
      <c r="A882" s="1" t="s">
        <v>2176</v>
      </c>
      <c r="B882" s="2">
        <v>1161.0</v>
      </c>
      <c r="C882" s="1" t="s">
        <v>173</v>
      </c>
      <c r="D882" s="1" t="s">
        <v>2177</v>
      </c>
      <c r="E882" s="3">
        <v>45972.0</v>
      </c>
      <c r="F882" s="1" t="s">
        <v>3</v>
      </c>
      <c r="G882" s="4">
        <v>6.12199251E8</v>
      </c>
      <c r="H882" s="1" t="s">
        <v>2178</v>
      </c>
      <c r="I882" s="2"/>
      <c r="J882" s="1" t="s">
        <v>2101</v>
      </c>
      <c r="K882" s="1">
        <v>54.0</v>
      </c>
      <c r="L882" s="1">
        <v>54.0</v>
      </c>
      <c r="M882" s="5">
        <v>95.0</v>
      </c>
      <c r="N882" s="22">
        <f t="shared" si="1"/>
        <v>5130</v>
      </c>
      <c r="O882" s="15" t="s">
        <v>2179</v>
      </c>
      <c r="P882" s="15" t="s">
        <v>2180</v>
      </c>
    </row>
    <row r="883" ht="15.75" customHeight="1">
      <c r="A883" s="1" t="s">
        <v>2181</v>
      </c>
      <c r="B883" s="2">
        <v>938.0</v>
      </c>
      <c r="C883" s="1" t="s">
        <v>1264</v>
      </c>
      <c r="D883" s="1" t="s">
        <v>2182</v>
      </c>
      <c r="E883" s="3">
        <v>45575.0</v>
      </c>
      <c r="F883" s="1" t="s">
        <v>3</v>
      </c>
      <c r="G883" s="4">
        <v>6.12200241E8</v>
      </c>
      <c r="H883" s="23" t="s">
        <v>2183</v>
      </c>
      <c r="I883" s="24"/>
      <c r="J883" s="23" t="s">
        <v>2101</v>
      </c>
      <c r="K883" s="23">
        <v>2125.0</v>
      </c>
      <c r="L883" s="25">
        <f>K883+K884</f>
        <v>4250</v>
      </c>
      <c r="M883" s="5">
        <v>115.0</v>
      </c>
      <c r="N883" s="22">
        <f t="shared" si="1"/>
        <v>244375</v>
      </c>
      <c r="O883" s="15" t="s">
        <v>2184</v>
      </c>
      <c r="P883" s="15" t="s">
        <v>2185</v>
      </c>
    </row>
    <row r="884" ht="15.75" customHeight="1">
      <c r="A884" s="1" t="s">
        <v>2186</v>
      </c>
      <c r="B884" s="2">
        <v>939.0</v>
      </c>
      <c r="C884" s="1" t="s">
        <v>1264</v>
      </c>
      <c r="D884" s="1" t="s">
        <v>2182</v>
      </c>
      <c r="E884" s="3">
        <v>45580.0</v>
      </c>
      <c r="F884" s="1" t="s">
        <v>3</v>
      </c>
      <c r="G884" s="4">
        <v>6.12200241E8</v>
      </c>
      <c r="H884" s="23" t="s">
        <v>2183</v>
      </c>
      <c r="I884" s="24"/>
      <c r="J884" s="23" t="s">
        <v>2101</v>
      </c>
      <c r="K884" s="23">
        <v>2125.0</v>
      </c>
      <c r="L884" s="26"/>
      <c r="M884" s="5">
        <v>115.0</v>
      </c>
      <c r="N884" s="22">
        <f t="shared" si="1"/>
        <v>244375</v>
      </c>
      <c r="O884" s="15" t="s">
        <v>2187</v>
      </c>
      <c r="P884" s="15" t="s">
        <v>2188</v>
      </c>
    </row>
    <row r="885" ht="15.75" customHeight="1">
      <c r="A885" s="1" t="s">
        <v>2189</v>
      </c>
      <c r="B885" s="2">
        <v>950.0</v>
      </c>
      <c r="C885" s="1" t="s">
        <v>173</v>
      </c>
      <c r="D885" s="1" t="s">
        <v>2190</v>
      </c>
      <c r="E885" s="3">
        <v>45596.0</v>
      </c>
      <c r="F885" s="1" t="s">
        <v>3</v>
      </c>
      <c r="G885" s="4">
        <v>6.12215241E8</v>
      </c>
      <c r="H885" s="1" t="s">
        <v>2191</v>
      </c>
      <c r="I885" s="2"/>
      <c r="J885" s="1" t="s">
        <v>2101</v>
      </c>
      <c r="K885" s="1">
        <v>200.0</v>
      </c>
      <c r="L885" s="1"/>
      <c r="M885" s="5">
        <v>95.0</v>
      </c>
      <c r="N885" s="22">
        <f t="shared" si="1"/>
        <v>19000</v>
      </c>
      <c r="O885" s="15" t="s">
        <v>2192</v>
      </c>
      <c r="P885" s="15" t="s">
        <v>2193</v>
      </c>
    </row>
    <row r="886" ht="15.75" customHeight="1">
      <c r="A886" s="1" t="s">
        <v>2194</v>
      </c>
      <c r="B886" s="2">
        <v>913.0</v>
      </c>
      <c r="C886" s="1" t="s">
        <v>1264</v>
      </c>
      <c r="D886" s="1" t="s">
        <v>2195</v>
      </c>
      <c r="E886" s="3">
        <v>45538.0</v>
      </c>
      <c r="F886" s="1" t="s">
        <v>3</v>
      </c>
      <c r="G886" s="4">
        <v>6.13164241E8</v>
      </c>
      <c r="H886" s="1" t="s">
        <v>2196</v>
      </c>
      <c r="I886" s="2"/>
      <c r="J886" s="1" t="s">
        <v>2197</v>
      </c>
      <c r="K886" s="1">
        <v>1500.0</v>
      </c>
      <c r="L886" s="1"/>
      <c r="M886" s="5">
        <v>115.0</v>
      </c>
      <c r="N886" s="22">
        <f t="shared" si="1"/>
        <v>172500</v>
      </c>
      <c r="O886" s="15" t="s">
        <v>2198</v>
      </c>
      <c r="P886" s="15" t="s">
        <v>2199</v>
      </c>
    </row>
    <row r="887" ht="15.75" customHeight="1">
      <c r="A887" s="1" t="s">
        <v>2200</v>
      </c>
      <c r="B887" s="2">
        <v>912.0</v>
      </c>
      <c r="C887" s="1" t="s">
        <v>675</v>
      </c>
      <c r="D887" s="1" t="s">
        <v>2201</v>
      </c>
      <c r="E887" s="3">
        <v>45537.0</v>
      </c>
      <c r="F887" s="1" t="s">
        <v>3</v>
      </c>
      <c r="G887" s="4">
        <v>6.14169241E8</v>
      </c>
      <c r="H887" s="1" t="s">
        <v>2202</v>
      </c>
      <c r="I887" s="2"/>
      <c r="J887" s="1" t="s">
        <v>2203</v>
      </c>
      <c r="K887" s="1">
        <v>5.0</v>
      </c>
      <c r="L887" s="1"/>
      <c r="M887" s="5">
        <v>154.67</v>
      </c>
      <c r="N887" s="22">
        <f t="shared" si="1"/>
        <v>773.35</v>
      </c>
      <c r="O887" s="15" t="s">
        <v>2204</v>
      </c>
      <c r="P887" s="15" t="s">
        <v>2205</v>
      </c>
    </row>
    <row r="888" ht="15.75" customHeight="1">
      <c r="A888" s="1" t="s">
        <v>2206</v>
      </c>
      <c r="B888" s="2">
        <v>1047.0</v>
      </c>
      <c r="C888" s="1" t="s">
        <v>675</v>
      </c>
      <c r="D888" s="1" t="s">
        <v>2207</v>
      </c>
      <c r="E888" s="3">
        <v>45743.0</v>
      </c>
      <c r="F888" s="1" t="s">
        <v>3</v>
      </c>
      <c r="G888" s="4">
        <v>6.15050251E8</v>
      </c>
      <c r="H888" s="23" t="s">
        <v>2208</v>
      </c>
      <c r="I888" s="24"/>
      <c r="J888" s="23" t="s">
        <v>2209</v>
      </c>
      <c r="K888" s="23">
        <v>10.0</v>
      </c>
      <c r="L888" s="1"/>
      <c r="M888" s="5">
        <v>151.06</v>
      </c>
      <c r="N888" s="22">
        <f t="shared" si="1"/>
        <v>1510.6</v>
      </c>
      <c r="O888" s="15" t="s">
        <v>2210</v>
      </c>
      <c r="P888" s="15" t="s">
        <v>2211</v>
      </c>
    </row>
    <row r="889" ht="15.75" customHeight="1">
      <c r="A889" s="1" t="s">
        <v>2212</v>
      </c>
      <c r="B889" s="2">
        <v>1067.0</v>
      </c>
      <c r="C889" s="1" t="s">
        <v>631</v>
      </c>
      <c r="D889" s="1" t="s">
        <v>2213</v>
      </c>
      <c r="E889" s="3">
        <v>45793.0</v>
      </c>
      <c r="F889" s="1" t="s">
        <v>3</v>
      </c>
      <c r="G889" s="4">
        <v>6.15050251E8</v>
      </c>
      <c r="H889" s="23" t="s">
        <v>2208</v>
      </c>
      <c r="I889" s="24"/>
      <c r="J889" s="23" t="s">
        <v>2209</v>
      </c>
      <c r="K889" s="23">
        <v>10.0</v>
      </c>
      <c r="L889" s="1"/>
      <c r="M889" s="5">
        <v>151.06</v>
      </c>
      <c r="N889" s="22">
        <f t="shared" si="1"/>
        <v>1510.6</v>
      </c>
      <c r="O889" s="15" t="s">
        <v>2214</v>
      </c>
      <c r="P889" s="15" t="s">
        <v>2215</v>
      </c>
    </row>
    <row r="890" ht="15.75" customHeight="1">
      <c r="A890" s="1" t="s">
        <v>2216</v>
      </c>
      <c r="B890" s="2">
        <v>723.0</v>
      </c>
      <c r="C890" s="1" t="s">
        <v>173</v>
      </c>
      <c r="D890" s="1" t="s">
        <v>2217</v>
      </c>
      <c r="E890" s="3">
        <v>45252.0</v>
      </c>
      <c r="F890" s="1" t="s">
        <v>3</v>
      </c>
      <c r="G890" s="4">
        <v>6.15160231E8</v>
      </c>
      <c r="H890" s="1" t="s">
        <v>2218</v>
      </c>
      <c r="I890" s="2"/>
      <c r="J890" s="1" t="s">
        <v>2209</v>
      </c>
      <c r="K890" s="1">
        <v>200.0</v>
      </c>
      <c r="L890" s="1"/>
      <c r="M890" s="5">
        <v>95.0</v>
      </c>
      <c r="N890" s="22">
        <f t="shared" si="1"/>
        <v>19000</v>
      </c>
      <c r="O890" s="15" t="s">
        <v>2219</v>
      </c>
      <c r="P890" s="15" t="s">
        <v>2220</v>
      </c>
    </row>
    <row r="891" ht="15.75" customHeight="1">
      <c r="A891" s="1" t="s">
        <v>2221</v>
      </c>
      <c r="B891" s="2">
        <v>899.0</v>
      </c>
      <c r="C891" s="1" t="s">
        <v>772</v>
      </c>
      <c r="D891" s="1" t="s">
        <v>2222</v>
      </c>
      <c r="E891" s="3">
        <v>45523.0</v>
      </c>
      <c r="F891" s="1" t="s">
        <v>3</v>
      </c>
      <c r="G891" s="4">
        <v>6.15162241E8</v>
      </c>
      <c r="H891" s="23" t="s">
        <v>2223</v>
      </c>
      <c r="I891" s="24"/>
      <c r="J891" s="23" t="s">
        <v>2209</v>
      </c>
      <c r="K891" s="23">
        <v>20.0</v>
      </c>
      <c r="L891" s="1"/>
      <c r="M891" s="5">
        <v>138.66</v>
      </c>
      <c r="N891" s="22">
        <f t="shared" si="1"/>
        <v>2773.2</v>
      </c>
      <c r="O891" s="15" t="s">
        <v>2224</v>
      </c>
      <c r="P891" s="15" t="s">
        <v>2225</v>
      </c>
    </row>
    <row r="892" ht="15.75" customHeight="1">
      <c r="A892" s="1" t="s">
        <v>2226</v>
      </c>
      <c r="B892" s="2">
        <v>900.0</v>
      </c>
      <c r="C892" s="1" t="s">
        <v>772</v>
      </c>
      <c r="D892" s="1" t="s">
        <v>2227</v>
      </c>
      <c r="E892" s="3">
        <v>45523.0</v>
      </c>
      <c r="F892" s="1" t="s">
        <v>3</v>
      </c>
      <c r="G892" s="4">
        <v>6.15162241E8</v>
      </c>
      <c r="H892" s="23" t="s">
        <v>2223</v>
      </c>
      <c r="I892" s="24"/>
      <c r="J892" s="23" t="s">
        <v>416</v>
      </c>
      <c r="K892" s="23">
        <v>20.0</v>
      </c>
      <c r="L892" s="1"/>
      <c r="M892" s="5">
        <v>138.66</v>
      </c>
      <c r="N892" s="22">
        <f t="shared" si="1"/>
        <v>2773.2</v>
      </c>
      <c r="O892" s="15" t="s">
        <v>2224</v>
      </c>
      <c r="P892" s="15" t="s">
        <v>2228</v>
      </c>
    </row>
    <row r="893" ht="15.75" customHeight="1">
      <c r="A893" s="1" t="s">
        <v>2229</v>
      </c>
      <c r="B893" s="2">
        <v>908.0</v>
      </c>
      <c r="C893" s="1" t="s">
        <v>126</v>
      </c>
      <c r="D893" s="1" t="s">
        <v>2230</v>
      </c>
      <c r="E893" s="3">
        <v>45533.0</v>
      </c>
      <c r="F893" s="1" t="s">
        <v>3</v>
      </c>
      <c r="G893" s="4">
        <v>6.15170241E8</v>
      </c>
      <c r="H893" s="1" t="s">
        <v>2231</v>
      </c>
      <c r="I893" s="2"/>
      <c r="J893" s="1" t="s">
        <v>2209</v>
      </c>
      <c r="K893" s="1">
        <v>5.0</v>
      </c>
      <c r="L893" s="1"/>
      <c r="M893" s="5">
        <v>178.34</v>
      </c>
      <c r="N893" s="22">
        <f t="shared" si="1"/>
        <v>891.7</v>
      </c>
      <c r="O893" s="15" t="s">
        <v>2232</v>
      </c>
      <c r="P893" s="15" t="s">
        <v>2233</v>
      </c>
    </row>
    <row r="894" ht="15.75" customHeight="1">
      <c r="A894" s="1" t="s">
        <v>2234</v>
      </c>
      <c r="B894" s="2">
        <v>907.0</v>
      </c>
      <c r="C894" s="1" t="s">
        <v>190</v>
      </c>
      <c r="D894" s="1" t="s">
        <v>2235</v>
      </c>
      <c r="E894" s="3">
        <v>45533.0</v>
      </c>
      <c r="F894" s="1" t="s">
        <v>3</v>
      </c>
      <c r="G894" s="4">
        <v>6.15178241E8</v>
      </c>
      <c r="H894" s="1" t="s">
        <v>2236</v>
      </c>
      <c r="I894" s="2"/>
      <c r="J894" s="1" t="s">
        <v>2209</v>
      </c>
      <c r="K894" s="1">
        <v>5.0</v>
      </c>
      <c r="L894" s="1"/>
      <c r="M894" s="5">
        <v>142.87</v>
      </c>
      <c r="N894" s="22">
        <f t="shared" si="1"/>
        <v>714.35</v>
      </c>
      <c r="O894" s="15" t="s">
        <v>2237</v>
      </c>
      <c r="P894" s="15" t="s">
        <v>2238</v>
      </c>
    </row>
    <row r="895" ht="15.75" customHeight="1">
      <c r="A895" s="1" t="s">
        <v>2239</v>
      </c>
      <c r="B895" s="2">
        <v>753.0</v>
      </c>
      <c r="C895" s="1" t="s">
        <v>422</v>
      </c>
      <c r="D895" s="1" t="s">
        <v>2240</v>
      </c>
      <c r="E895" s="3">
        <v>45306.0</v>
      </c>
      <c r="F895" s="1" t="s">
        <v>3</v>
      </c>
      <c r="G895" s="4">
        <v>6.15181231E8</v>
      </c>
      <c r="H895" s="1" t="s">
        <v>2241</v>
      </c>
      <c r="I895" s="2"/>
      <c r="J895" s="1" t="s">
        <v>2209</v>
      </c>
      <c r="K895" s="1">
        <v>1800.0</v>
      </c>
      <c r="L895" s="1"/>
      <c r="M895" s="5">
        <v>104.0</v>
      </c>
      <c r="N895" s="22">
        <f t="shared" si="1"/>
        <v>187200</v>
      </c>
      <c r="O895" s="15" t="s">
        <v>2242</v>
      </c>
      <c r="P895" s="15" t="s">
        <v>2243</v>
      </c>
    </row>
    <row r="896" ht="15.75" customHeight="1">
      <c r="A896" s="1" t="s">
        <v>2244</v>
      </c>
      <c r="B896" s="2">
        <v>1062.0</v>
      </c>
      <c r="C896" s="1" t="s">
        <v>39</v>
      </c>
      <c r="D896" s="1" t="s">
        <v>2245</v>
      </c>
      <c r="E896" s="3">
        <v>45793.0</v>
      </c>
      <c r="F896" s="1" t="s">
        <v>3</v>
      </c>
      <c r="G896" s="4">
        <v>6.16006251E8</v>
      </c>
      <c r="H896" s="1" t="s">
        <v>2246</v>
      </c>
      <c r="I896" s="2"/>
      <c r="J896" s="1" t="s">
        <v>2247</v>
      </c>
      <c r="K896" s="1">
        <v>2592.0</v>
      </c>
      <c r="L896" s="1"/>
      <c r="M896" s="5">
        <v>49.28</v>
      </c>
      <c r="N896" s="22">
        <f t="shared" si="1"/>
        <v>127733.76</v>
      </c>
      <c r="O896" s="15" t="s">
        <v>2248</v>
      </c>
      <c r="P896" s="15" t="s">
        <v>2249</v>
      </c>
    </row>
    <row r="897" ht="15.75" customHeight="1">
      <c r="A897" s="1" t="s">
        <v>2250</v>
      </c>
      <c r="B897" s="2">
        <v>792.0</v>
      </c>
      <c r="C897" s="1" t="s">
        <v>39</v>
      </c>
      <c r="D897" s="1" t="s">
        <v>2251</v>
      </c>
      <c r="E897" s="3">
        <v>45351.0</v>
      </c>
      <c r="F897" s="1" t="s">
        <v>3</v>
      </c>
      <c r="G897" s="4">
        <v>6.16030241E8</v>
      </c>
      <c r="H897" s="1" t="s">
        <v>2252</v>
      </c>
      <c r="I897" s="2"/>
      <c r="J897" s="1" t="s">
        <v>2247</v>
      </c>
      <c r="K897" s="1">
        <v>1404.0</v>
      </c>
      <c r="L897" s="1"/>
      <c r="M897" s="5">
        <v>49.28</v>
      </c>
      <c r="N897" s="22">
        <f t="shared" si="1"/>
        <v>69189.12</v>
      </c>
      <c r="O897" s="15" t="s">
        <v>2248</v>
      </c>
      <c r="P897" s="15" t="s">
        <v>2249</v>
      </c>
    </row>
    <row r="898" ht="15.75" customHeight="1">
      <c r="A898" s="1" t="s">
        <v>2253</v>
      </c>
      <c r="B898" s="2">
        <v>811.0</v>
      </c>
      <c r="C898" s="1" t="s">
        <v>39</v>
      </c>
      <c r="D898" s="1" t="s">
        <v>2254</v>
      </c>
      <c r="E898" s="3">
        <v>45377.0</v>
      </c>
      <c r="F898" s="1" t="s">
        <v>3</v>
      </c>
      <c r="G898" s="4">
        <v>6.16046241E8</v>
      </c>
      <c r="H898" s="23" t="s">
        <v>2255</v>
      </c>
      <c r="I898" s="24"/>
      <c r="J898" s="23" t="s">
        <v>2247</v>
      </c>
      <c r="K898" s="23">
        <v>2592.0</v>
      </c>
      <c r="L898" s="1"/>
      <c r="M898" s="5">
        <v>49.28</v>
      </c>
      <c r="N898" s="22">
        <f t="shared" si="1"/>
        <v>127733.76</v>
      </c>
      <c r="O898" s="15" t="s">
        <v>2248</v>
      </c>
      <c r="P898" s="15" t="s">
        <v>2249</v>
      </c>
    </row>
    <row r="899" ht="15.75" customHeight="1">
      <c r="A899" s="1" t="s">
        <v>2256</v>
      </c>
      <c r="B899" s="2">
        <v>840.0</v>
      </c>
      <c r="C899" s="1" t="s">
        <v>39</v>
      </c>
      <c r="D899" s="1" t="s">
        <v>2257</v>
      </c>
      <c r="E899" s="3">
        <v>45427.0</v>
      </c>
      <c r="F899" s="1" t="s">
        <v>3</v>
      </c>
      <c r="G899" s="4">
        <v>6.16046241E8</v>
      </c>
      <c r="H899" s="23" t="s">
        <v>2255</v>
      </c>
      <c r="I899" s="24"/>
      <c r="J899" s="23" t="s">
        <v>2247</v>
      </c>
      <c r="K899" s="23">
        <v>2592.0</v>
      </c>
      <c r="L899" s="1"/>
      <c r="M899" s="5">
        <v>49.28</v>
      </c>
      <c r="N899" s="22">
        <f t="shared" si="1"/>
        <v>127733.76</v>
      </c>
      <c r="O899" s="15" t="s">
        <v>2248</v>
      </c>
      <c r="P899" s="15" t="s">
        <v>2249</v>
      </c>
    </row>
    <row r="900" ht="15.75" customHeight="1">
      <c r="A900" s="1" t="s">
        <v>2258</v>
      </c>
      <c r="B900" s="2">
        <v>570.0</v>
      </c>
      <c r="C900" s="1" t="s">
        <v>39</v>
      </c>
      <c r="D900" s="1" t="s">
        <v>2259</v>
      </c>
      <c r="E900" s="3">
        <v>45068.0</v>
      </c>
      <c r="F900" s="1" t="s">
        <v>3</v>
      </c>
      <c r="G900" s="4">
        <v>6.16075231E8</v>
      </c>
      <c r="H900" s="1" t="s">
        <v>2260</v>
      </c>
      <c r="I900" s="2"/>
      <c r="J900" s="1" t="s">
        <v>1619</v>
      </c>
      <c r="K900" s="1">
        <v>1404.0</v>
      </c>
      <c r="L900" s="1"/>
      <c r="M900" s="5">
        <v>50.96</v>
      </c>
      <c r="N900" s="22">
        <f t="shared" si="1"/>
        <v>71547.84</v>
      </c>
      <c r="O900" s="15" t="s">
        <v>2248</v>
      </c>
      <c r="P900" s="15" t="s">
        <v>2249</v>
      </c>
    </row>
    <row r="901" ht="15.75" customHeight="1">
      <c r="A901" s="1" t="s">
        <v>2261</v>
      </c>
      <c r="B901" s="2">
        <v>653.0</v>
      </c>
      <c r="C901" s="1" t="s">
        <v>39</v>
      </c>
      <c r="D901" s="1" t="s">
        <v>2262</v>
      </c>
      <c r="E901" s="3">
        <v>45132.0</v>
      </c>
      <c r="F901" s="1" t="s">
        <v>3</v>
      </c>
      <c r="G901" s="4">
        <v>6.16105231E8</v>
      </c>
      <c r="H901" s="23" t="s">
        <v>2263</v>
      </c>
      <c r="I901" s="24"/>
      <c r="J901" s="23" t="s">
        <v>1619</v>
      </c>
      <c r="K901" s="23">
        <v>1404.0</v>
      </c>
      <c r="L901" s="1"/>
      <c r="M901" s="5">
        <v>49.28</v>
      </c>
      <c r="N901" s="22">
        <f t="shared" si="1"/>
        <v>69189.12</v>
      </c>
      <c r="O901" s="15" t="s">
        <v>2248</v>
      </c>
      <c r="P901" s="15" t="s">
        <v>2249</v>
      </c>
    </row>
    <row r="902" ht="15.75" customHeight="1">
      <c r="A902" s="1" t="s">
        <v>2264</v>
      </c>
      <c r="B902" s="2">
        <v>1117.0</v>
      </c>
      <c r="C902" s="1" t="s">
        <v>39</v>
      </c>
      <c r="D902" s="1" t="s">
        <v>2265</v>
      </c>
      <c r="E902" s="3">
        <v>45875.0</v>
      </c>
      <c r="F902" s="1" t="s">
        <v>3</v>
      </c>
      <c r="G902" s="4">
        <v>6.16105251E8</v>
      </c>
      <c r="H902" s="23" t="s">
        <v>2266</v>
      </c>
      <c r="I902" s="24"/>
      <c r="J902" s="23" t="s">
        <v>2247</v>
      </c>
      <c r="K902" s="23">
        <v>2592.0</v>
      </c>
      <c r="L902" s="1"/>
      <c r="M902" s="5">
        <v>49.28</v>
      </c>
      <c r="N902" s="22">
        <f t="shared" si="1"/>
        <v>127733.76</v>
      </c>
      <c r="O902" s="15" t="s">
        <v>2248</v>
      </c>
      <c r="P902" s="15" t="s">
        <v>2249</v>
      </c>
    </row>
    <row r="903" ht="15.75" customHeight="1">
      <c r="A903" s="1" t="s">
        <v>2267</v>
      </c>
      <c r="B903" s="2">
        <v>1122.0</v>
      </c>
      <c r="C903" s="1" t="s">
        <v>39</v>
      </c>
      <c r="D903" s="1" t="s">
        <v>2268</v>
      </c>
      <c r="E903" s="3">
        <v>45875.0</v>
      </c>
      <c r="F903" s="1" t="s">
        <v>3</v>
      </c>
      <c r="G903" s="4">
        <v>6.16105251E8</v>
      </c>
      <c r="H903" s="23" t="s">
        <v>2266</v>
      </c>
      <c r="I903" s="24"/>
      <c r="J903" s="23" t="s">
        <v>2247</v>
      </c>
      <c r="K903" s="23">
        <v>2592.0</v>
      </c>
      <c r="L903" s="1"/>
      <c r="M903" s="5">
        <v>49.28</v>
      </c>
      <c r="N903" s="22">
        <f t="shared" si="1"/>
        <v>127733.76</v>
      </c>
      <c r="O903" s="15" t="s">
        <v>2248</v>
      </c>
      <c r="P903" s="15" t="s">
        <v>2249</v>
      </c>
    </row>
    <row r="904" ht="15.75" customHeight="1">
      <c r="A904" s="1" t="s">
        <v>2269</v>
      </c>
      <c r="B904" s="2">
        <v>883.0</v>
      </c>
      <c r="C904" s="1" t="s">
        <v>39</v>
      </c>
      <c r="D904" s="1" t="s">
        <v>2270</v>
      </c>
      <c r="E904" s="3">
        <v>45492.0</v>
      </c>
      <c r="F904" s="1" t="s">
        <v>3</v>
      </c>
      <c r="G904" s="4">
        <v>6.16110241E8</v>
      </c>
      <c r="H904" s="27" t="s">
        <v>2271</v>
      </c>
      <c r="I904" s="28"/>
      <c r="J904" s="27" t="s">
        <v>2247</v>
      </c>
      <c r="K904" s="27">
        <v>2592.0</v>
      </c>
      <c r="L904" s="1"/>
      <c r="M904" s="5">
        <v>49.28</v>
      </c>
      <c r="N904" s="22">
        <f t="shared" si="1"/>
        <v>127733.76</v>
      </c>
      <c r="O904" s="15" t="s">
        <v>2248</v>
      </c>
      <c r="P904" s="15" t="s">
        <v>2249</v>
      </c>
    </row>
    <row r="905" ht="15.75" customHeight="1">
      <c r="A905" s="1" t="s">
        <v>2272</v>
      </c>
      <c r="B905" s="2">
        <v>903.0</v>
      </c>
      <c r="C905" s="1" t="s">
        <v>39</v>
      </c>
      <c r="D905" s="1" t="s">
        <v>2273</v>
      </c>
      <c r="E905" s="3">
        <v>45533.0</v>
      </c>
      <c r="F905" s="1" t="s">
        <v>3</v>
      </c>
      <c r="G905" s="4">
        <v>6.16110241E8</v>
      </c>
      <c r="H905" s="27" t="s">
        <v>2271</v>
      </c>
      <c r="I905" s="28"/>
      <c r="J905" s="27" t="s">
        <v>2247</v>
      </c>
      <c r="K905" s="27">
        <v>2592.0</v>
      </c>
      <c r="L905" s="1"/>
      <c r="M905" s="5">
        <v>49.28</v>
      </c>
      <c r="N905" s="22">
        <f t="shared" si="1"/>
        <v>127733.76</v>
      </c>
      <c r="O905" s="15" t="s">
        <v>2248</v>
      </c>
      <c r="P905" s="15" t="s">
        <v>2249</v>
      </c>
    </row>
    <row r="906" ht="15.75" customHeight="1">
      <c r="A906" s="1" t="s">
        <v>2274</v>
      </c>
      <c r="B906" s="2">
        <v>696.0</v>
      </c>
      <c r="C906" s="1" t="s">
        <v>39</v>
      </c>
      <c r="D906" s="1" t="s">
        <v>2275</v>
      </c>
      <c r="E906" s="3">
        <v>45209.0</v>
      </c>
      <c r="F906" s="1" t="s">
        <v>3</v>
      </c>
      <c r="G906" s="4">
        <v>6.16128231E8</v>
      </c>
      <c r="H906" s="1" t="s">
        <v>2276</v>
      </c>
      <c r="I906" s="2"/>
      <c r="J906" s="1" t="s">
        <v>623</v>
      </c>
      <c r="K906" s="1">
        <v>1404.0</v>
      </c>
      <c r="L906" s="1"/>
      <c r="M906" s="5">
        <v>49.28</v>
      </c>
      <c r="N906" s="22">
        <f t="shared" si="1"/>
        <v>69189.12</v>
      </c>
      <c r="O906" s="15" t="s">
        <v>2248</v>
      </c>
      <c r="P906" s="15" t="s">
        <v>2249</v>
      </c>
    </row>
    <row r="907" ht="15.75" customHeight="1">
      <c r="A907" s="1" t="s">
        <v>2277</v>
      </c>
      <c r="B907" s="2">
        <v>714.0</v>
      </c>
      <c r="C907" s="1" t="s">
        <v>39</v>
      </c>
      <c r="D907" s="1" t="s">
        <v>2278</v>
      </c>
      <c r="E907" s="3">
        <v>45252.0</v>
      </c>
      <c r="F907" s="1" t="s">
        <v>3</v>
      </c>
      <c r="G907" s="4">
        <v>6.16147231E8</v>
      </c>
      <c r="H907" s="27" t="s">
        <v>2279</v>
      </c>
      <c r="I907" s="28"/>
      <c r="J907" s="27" t="s">
        <v>2247</v>
      </c>
      <c r="K907" s="27">
        <v>1404.0</v>
      </c>
      <c r="L907" s="1"/>
      <c r="M907" s="5">
        <v>49.28</v>
      </c>
      <c r="N907" s="22">
        <f t="shared" si="1"/>
        <v>69189.12</v>
      </c>
      <c r="O907" s="15" t="s">
        <v>2248</v>
      </c>
      <c r="P907" s="15" t="s">
        <v>2249</v>
      </c>
    </row>
    <row r="908" ht="15.75" customHeight="1">
      <c r="A908" s="1" t="s">
        <v>2280</v>
      </c>
      <c r="B908" s="2">
        <v>754.0</v>
      </c>
      <c r="C908" s="1" t="s">
        <v>39</v>
      </c>
      <c r="D908" s="1" t="s">
        <v>2281</v>
      </c>
      <c r="E908" s="3">
        <v>45306.0</v>
      </c>
      <c r="F908" s="1" t="s">
        <v>3</v>
      </c>
      <c r="G908" s="4">
        <v>6.16147231E8</v>
      </c>
      <c r="H908" s="27" t="s">
        <v>2279</v>
      </c>
      <c r="I908" s="28"/>
      <c r="J908" s="27" t="s">
        <v>2247</v>
      </c>
      <c r="K908" s="27">
        <v>1404.0</v>
      </c>
      <c r="L908" s="1"/>
      <c r="M908" s="5">
        <v>49.28</v>
      </c>
      <c r="N908" s="22">
        <f t="shared" si="1"/>
        <v>69189.12</v>
      </c>
      <c r="O908" s="15" t="s">
        <v>2248</v>
      </c>
      <c r="P908" s="15" t="s">
        <v>2249</v>
      </c>
    </row>
    <row r="909" ht="15.75" customHeight="1">
      <c r="A909" s="1" t="s">
        <v>2282</v>
      </c>
      <c r="B909" s="2">
        <v>933.0</v>
      </c>
      <c r="C909" s="1" t="s">
        <v>39</v>
      </c>
      <c r="D909" s="1" t="s">
        <v>2283</v>
      </c>
      <c r="E909" s="3">
        <v>45574.0</v>
      </c>
      <c r="F909" s="1" t="s">
        <v>3</v>
      </c>
      <c r="G909" s="4">
        <v>6.16158241E8</v>
      </c>
      <c r="H909" s="1" t="s">
        <v>2284</v>
      </c>
      <c r="I909" s="2"/>
      <c r="J909" s="1" t="s">
        <v>2247</v>
      </c>
      <c r="K909" s="1">
        <v>2592.0</v>
      </c>
      <c r="L909" s="1"/>
      <c r="M909" s="5">
        <v>49.28</v>
      </c>
      <c r="N909" s="22">
        <f t="shared" si="1"/>
        <v>127733.76</v>
      </c>
      <c r="O909" s="15" t="s">
        <v>2248</v>
      </c>
      <c r="P909" s="15" t="s">
        <v>2249</v>
      </c>
    </row>
    <row r="910" ht="15.75" customHeight="1">
      <c r="A910" s="1" t="s">
        <v>2285</v>
      </c>
      <c r="B910" s="2">
        <v>974.0</v>
      </c>
      <c r="C910" s="1" t="s">
        <v>39</v>
      </c>
      <c r="D910" s="1" t="s">
        <v>2286</v>
      </c>
      <c r="E910" s="3">
        <v>45632.0</v>
      </c>
      <c r="F910" s="1" t="s">
        <v>3</v>
      </c>
      <c r="G910" s="4">
        <v>6.16195241E8</v>
      </c>
      <c r="H910" s="27" t="s">
        <v>2287</v>
      </c>
      <c r="I910" s="28"/>
      <c r="J910" s="27" t="s">
        <v>2247</v>
      </c>
      <c r="K910" s="27">
        <v>2592.0</v>
      </c>
      <c r="L910" s="1"/>
      <c r="M910" s="5">
        <v>49.28</v>
      </c>
      <c r="N910" s="22">
        <f t="shared" si="1"/>
        <v>127733.76</v>
      </c>
      <c r="O910" s="15" t="s">
        <v>2248</v>
      </c>
      <c r="P910" s="15" t="s">
        <v>2249</v>
      </c>
    </row>
    <row r="911" ht="15.75" customHeight="1">
      <c r="A911" s="1" t="s">
        <v>2288</v>
      </c>
      <c r="B911" s="2">
        <v>982.0</v>
      </c>
      <c r="C911" s="1" t="s">
        <v>39</v>
      </c>
      <c r="D911" s="1" t="s">
        <v>2289</v>
      </c>
      <c r="E911" s="3">
        <v>45646.0</v>
      </c>
      <c r="F911" s="1" t="s">
        <v>3</v>
      </c>
      <c r="G911" s="4">
        <v>6.16195241E8</v>
      </c>
      <c r="H911" s="27" t="s">
        <v>2287</v>
      </c>
      <c r="I911" s="28"/>
      <c r="J911" s="27" t="s">
        <v>2247</v>
      </c>
      <c r="K911" s="27">
        <v>2592.0</v>
      </c>
      <c r="L911" s="1"/>
      <c r="M911" s="5">
        <v>49.28</v>
      </c>
      <c r="N911" s="22">
        <f t="shared" si="1"/>
        <v>127733.76</v>
      </c>
      <c r="O911" s="15" t="s">
        <v>2248</v>
      </c>
      <c r="P911" s="15" t="s">
        <v>2249</v>
      </c>
    </row>
    <row r="912" ht="15.75" customHeight="1">
      <c r="A912" s="1" t="s">
        <v>2290</v>
      </c>
      <c r="B912" s="2">
        <v>998.0</v>
      </c>
      <c r="C912" s="1" t="s">
        <v>39</v>
      </c>
      <c r="D912" s="1" t="s">
        <v>2291</v>
      </c>
      <c r="E912" s="3">
        <v>45698.0</v>
      </c>
      <c r="F912" s="1" t="s">
        <v>3</v>
      </c>
      <c r="G912" s="4">
        <v>6.16232241E8</v>
      </c>
      <c r="H912" s="1" t="s">
        <v>2292</v>
      </c>
      <c r="I912" s="2"/>
      <c r="J912" s="1" t="s">
        <v>2247</v>
      </c>
      <c r="K912" s="1">
        <v>2592.0</v>
      </c>
      <c r="L912" s="1"/>
      <c r="M912" s="5">
        <v>49.28</v>
      </c>
      <c r="N912" s="22">
        <f t="shared" si="1"/>
        <v>127733.76</v>
      </c>
      <c r="O912" s="15" t="s">
        <v>2248</v>
      </c>
      <c r="P912" s="15" t="s">
        <v>2249</v>
      </c>
    </row>
    <row r="913" ht="15.75" customHeight="1">
      <c r="A913" s="1" t="s">
        <v>2293</v>
      </c>
      <c r="B913" s="2">
        <v>499.0</v>
      </c>
      <c r="C913" s="1" t="s">
        <v>55</v>
      </c>
      <c r="D913" s="1" t="s">
        <v>2294</v>
      </c>
      <c r="E913" s="3">
        <v>44931.0</v>
      </c>
      <c r="F913" s="1" t="s">
        <v>3</v>
      </c>
      <c r="G913" s="4">
        <v>6.17027231E8</v>
      </c>
      <c r="H913" s="23" t="s">
        <v>2295</v>
      </c>
      <c r="I913" s="24"/>
      <c r="J913" s="23" t="s">
        <v>16</v>
      </c>
      <c r="K913" s="23">
        <v>100.0</v>
      </c>
      <c r="L913" s="1"/>
      <c r="M913" s="5">
        <v>90.0</v>
      </c>
      <c r="N913" s="22">
        <f t="shared" si="1"/>
        <v>9000</v>
      </c>
      <c r="O913" s="15" t="s">
        <v>2296</v>
      </c>
      <c r="P913" s="15" t="s">
        <v>2297</v>
      </c>
    </row>
    <row r="914" ht="15.75" customHeight="1">
      <c r="A914" s="1" t="s">
        <v>2298</v>
      </c>
      <c r="B914" s="2">
        <v>500.0</v>
      </c>
      <c r="C914" s="1" t="s">
        <v>173</v>
      </c>
      <c r="D914" s="1" t="s">
        <v>2299</v>
      </c>
      <c r="E914" s="3">
        <v>44931.0</v>
      </c>
      <c r="F914" s="1" t="s">
        <v>3</v>
      </c>
      <c r="G914" s="4">
        <v>6.17027231E8</v>
      </c>
      <c r="H914" s="23" t="s">
        <v>2295</v>
      </c>
      <c r="I914" s="24"/>
      <c r="J914" s="23" t="s">
        <v>16</v>
      </c>
      <c r="K914" s="23">
        <v>200.0</v>
      </c>
      <c r="L914" s="1"/>
      <c r="M914" s="5">
        <v>95.0</v>
      </c>
      <c r="N914" s="22">
        <f t="shared" si="1"/>
        <v>19000</v>
      </c>
      <c r="O914" s="15" t="s">
        <v>2179</v>
      </c>
      <c r="P914" s="15" t="s">
        <v>2180</v>
      </c>
    </row>
    <row r="915" ht="15.75" customHeight="1">
      <c r="A915" s="1" t="s">
        <v>2300</v>
      </c>
      <c r="B915" s="2">
        <v>502.0</v>
      </c>
      <c r="C915" s="1" t="s">
        <v>475</v>
      </c>
      <c r="D915" s="1" t="s">
        <v>2301</v>
      </c>
      <c r="E915" s="3">
        <v>44935.0</v>
      </c>
      <c r="F915" s="1" t="s">
        <v>3</v>
      </c>
      <c r="G915" s="4">
        <v>6.17027231E8</v>
      </c>
      <c r="H915" s="23" t="s">
        <v>2295</v>
      </c>
      <c r="I915" s="24"/>
      <c r="J915" s="23" t="s">
        <v>124</v>
      </c>
      <c r="K915" s="23">
        <v>50.0</v>
      </c>
      <c r="L915" s="1"/>
      <c r="M915" s="5">
        <v>155.0</v>
      </c>
      <c r="N915" s="22">
        <f t="shared" si="1"/>
        <v>7750</v>
      </c>
      <c r="O915" s="15" t="s">
        <v>2302</v>
      </c>
      <c r="P915" s="15" t="s">
        <v>2303</v>
      </c>
    </row>
    <row r="916" ht="15.75" customHeight="1">
      <c r="A916" s="1" t="s">
        <v>2304</v>
      </c>
      <c r="B916" s="2">
        <v>503.0</v>
      </c>
      <c r="C916" s="1" t="s">
        <v>14</v>
      </c>
      <c r="D916" s="1" t="s">
        <v>2305</v>
      </c>
      <c r="E916" s="3">
        <v>44937.0</v>
      </c>
      <c r="F916" s="1" t="s">
        <v>3</v>
      </c>
      <c r="G916" s="4">
        <v>6.17027231E8</v>
      </c>
      <c r="H916" s="23" t="s">
        <v>2295</v>
      </c>
      <c r="I916" s="24"/>
      <c r="J916" s="23" t="s">
        <v>16</v>
      </c>
      <c r="K916" s="23">
        <v>2500.0</v>
      </c>
      <c r="L916" s="1"/>
      <c r="M916" s="5">
        <v>103.46</v>
      </c>
      <c r="N916" s="22">
        <f t="shared" si="1"/>
        <v>258650</v>
      </c>
      <c r="O916" s="15" t="s">
        <v>2306</v>
      </c>
      <c r="P916" s="15" t="s">
        <v>2307</v>
      </c>
    </row>
    <row r="917" ht="15.75" customHeight="1">
      <c r="A917" s="1" t="s">
        <v>2308</v>
      </c>
      <c r="B917" s="2">
        <v>510.0</v>
      </c>
      <c r="C917" s="1" t="s">
        <v>346</v>
      </c>
      <c r="D917" s="1" t="s">
        <v>2309</v>
      </c>
      <c r="E917" s="3">
        <v>44957.0</v>
      </c>
      <c r="F917" s="1" t="s">
        <v>3</v>
      </c>
      <c r="G917" s="4">
        <v>6.17027231E8</v>
      </c>
      <c r="H917" s="23" t="s">
        <v>2295</v>
      </c>
      <c r="I917" s="24"/>
      <c r="J917" s="23" t="s">
        <v>5</v>
      </c>
      <c r="K917" s="23">
        <v>8.0</v>
      </c>
      <c r="L917" s="1"/>
      <c r="M917" s="5">
        <v>73.0</v>
      </c>
      <c r="N917" s="22">
        <f t="shared" si="1"/>
        <v>584</v>
      </c>
    </row>
    <row r="918" ht="15.75" customHeight="1">
      <c r="A918" s="1" t="s">
        <v>2310</v>
      </c>
      <c r="B918" s="2">
        <v>519.0</v>
      </c>
      <c r="C918" s="1" t="s">
        <v>475</v>
      </c>
      <c r="D918" s="1" t="s">
        <v>2311</v>
      </c>
      <c r="E918" s="3">
        <v>44981.0</v>
      </c>
      <c r="F918" s="1" t="s">
        <v>3</v>
      </c>
      <c r="G918" s="4">
        <v>6.17027231E8</v>
      </c>
      <c r="H918" s="23" t="s">
        <v>2295</v>
      </c>
      <c r="I918" s="24"/>
      <c r="J918" s="23" t="s">
        <v>124</v>
      </c>
      <c r="K918" s="23">
        <v>50.0</v>
      </c>
      <c r="L918" s="1"/>
      <c r="M918" s="5">
        <v>155.0</v>
      </c>
      <c r="N918" s="22">
        <f t="shared" si="1"/>
        <v>7750</v>
      </c>
      <c r="O918" s="15" t="s">
        <v>2302</v>
      </c>
      <c r="P918" s="15" t="s">
        <v>2303</v>
      </c>
    </row>
    <row r="919" ht="15.75" customHeight="1">
      <c r="A919" s="1" t="s">
        <v>2181</v>
      </c>
      <c r="B919" s="2">
        <v>938.0</v>
      </c>
      <c r="C919" s="1" t="s">
        <v>1264</v>
      </c>
      <c r="D919" s="1" t="s">
        <v>2182</v>
      </c>
      <c r="E919" s="3">
        <v>45575.0</v>
      </c>
      <c r="F919" s="1" t="s">
        <v>3</v>
      </c>
      <c r="G919" s="4">
        <v>6.32203241E8</v>
      </c>
      <c r="H919" s="1" t="s">
        <v>2312</v>
      </c>
      <c r="I919" s="2"/>
      <c r="J919" s="1" t="s">
        <v>531</v>
      </c>
      <c r="K919" s="1">
        <v>25.0</v>
      </c>
      <c r="L919" s="1"/>
      <c r="M919" s="5">
        <v>252.98</v>
      </c>
      <c r="N919" s="22">
        <f t="shared" si="1"/>
        <v>6324.5</v>
      </c>
    </row>
    <row r="920" ht="15.75" customHeight="1">
      <c r="A920" s="1" t="s">
        <v>2186</v>
      </c>
      <c r="B920" s="2">
        <v>939.0</v>
      </c>
      <c r="C920" s="1" t="s">
        <v>1264</v>
      </c>
      <c r="D920" s="1" t="s">
        <v>2182</v>
      </c>
      <c r="E920" s="3">
        <v>45580.0</v>
      </c>
      <c r="F920" s="1" t="s">
        <v>3</v>
      </c>
      <c r="G920" s="4">
        <v>6.32203241E8</v>
      </c>
      <c r="H920" s="1" t="s">
        <v>2312</v>
      </c>
      <c r="I920" s="2"/>
      <c r="J920" s="1" t="s">
        <v>2203</v>
      </c>
      <c r="K920" s="1">
        <v>25.0</v>
      </c>
      <c r="L920" s="1"/>
      <c r="M920" s="5">
        <v>252.98</v>
      </c>
      <c r="N920" s="22">
        <f t="shared" si="1"/>
        <v>6324.5</v>
      </c>
    </row>
    <row r="921" ht="15.75" customHeight="1">
      <c r="A921" s="1" t="s">
        <v>2313</v>
      </c>
      <c r="B921" s="2">
        <v>957.0</v>
      </c>
      <c r="C921" s="1" t="s">
        <v>190</v>
      </c>
      <c r="D921" s="1" t="s">
        <v>2314</v>
      </c>
      <c r="E921" s="3">
        <v>45602.0</v>
      </c>
      <c r="F921" s="1" t="s">
        <v>3</v>
      </c>
      <c r="G921" s="4">
        <v>6.33229241E8</v>
      </c>
      <c r="H921" s="1" t="s">
        <v>2315</v>
      </c>
      <c r="I921" s="2"/>
      <c r="J921" s="1" t="s">
        <v>2209</v>
      </c>
      <c r="K921" s="1">
        <v>5.0</v>
      </c>
      <c r="L921" s="1"/>
      <c r="M921" s="5">
        <v>142.87</v>
      </c>
      <c r="N921" s="22">
        <f t="shared" si="1"/>
        <v>714.35</v>
      </c>
      <c r="O921" s="15" t="s">
        <v>2316</v>
      </c>
      <c r="P921" s="15" t="s">
        <v>2317</v>
      </c>
    </row>
    <row r="922" ht="15.75" customHeight="1">
      <c r="A922" s="1" t="s">
        <v>1673</v>
      </c>
      <c r="B922" s="2">
        <v>767.0</v>
      </c>
      <c r="C922" s="1" t="s">
        <v>1264</v>
      </c>
      <c r="D922" s="1" t="s">
        <v>1674</v>
      </c>
      <c r="E922" s="3">
        <v>45322.0</v>
      </c>
      <c r="F922" s="1" t="s">
        <v>3</v>
      </c>
      <c r="G922" s="4">
        <v>6.37009241E8</v>
      </c>
      <c r="H922" s="1" t="s">
        <v>2318</v>
      </c>
      <c r="I922" s="2"/>
      <c r="J922" s="1" t="s">
        <v>2319</v>
      </c>
      <c r="K922" s="1">
        <v>10.0</v>
      </c>
      <c r="L922" s="1"/>
      <c r="M922" s="5">
        <v>116.85</v>
      </c>
      <c r="N922" s="22">
        <f t="shared" si="1"/>
        <v>1168.5</v>
      </c>
    </row>
    <row r="923" ht="15.75" customHeight="1">
      <c r="A923" s="1" t="s">
        <v>2320</v>
      </c>
      <c r="B923" s="2">
        <v>766.0</v>
      </c>
      <c r="C923" s="1" t="s">
        <v>449</v>
      </c>
      <c r="D923" s="1" t="s">
        <v>2321</v>
      </c>
      <c r="E923" s="3">
        <v>45322.0</v>
      </c>
      <c r="F923" s="1" t="s">
        <v>3</v>
      </c>
      <c r="G923" s="4">
        <v>6.37011241E8</v>
      </c>
      <c r="H923" s="1" t="s">
        <v>2322</v>
      </c>
      <c r="I923" s="2"/>
      <c r="J923" s="1" t="s">
        <v>2319</v>
      </c>
      <c r="K923" s="1">
        <v>5.0</v>
      </c>
      <c r="L923" s="1"/>
      <c r="M923" s="5">
        <v>140.54</v>
      </c>
      <c r="N923" s="22">
        <f t="shared" si="1"/>
        <v>702.7</v>
      </c>
      <c r="O923" s="15" t="s">
        <v>2323</v>
      </c>
      <c r="P923" s="15" t="s">
        <v>2324</v>
      </c>
    </row>
    <row r="924" ht="15.75" customHeight="1">
      <c r="A924" s="1" t="s">
        <v>2325</v>
      </c>
      <c r="B924" s="2">
        <v>768.0</v>
      </c>
      <c r="C924" s="1" t="s">
        <v>2326</v>
      </c>
      <c r="D924" s="1" t="s">
        <v>2327</v>
      </c>
      <c r="E924" s="3">
        <v>45322.0</v>
      </c>
      <c r="F924" s="1" t="s">
        <v>3</v>
      </c>
      <c r="G924" s="4">
        <v>6.37012241E8</v>
      </c>
      <c r="H924" s="1" t="s">
        <v>2328</v>
      </c>
      <c r="I924" s="2"/>
      <c r="J924" s="1" t="s">
        <v>2319</v>
      </c>
      <c r="K924" s="1">
        <v>20.0</v>
      </c>
      <c r="L924" s="1"/>
      <c r="M924" s="5">
        <v>138.62</v>
      </c>
      <c r="N924" s="22">
        <f t="shared" si="1"/>
        <v>2772.4</v>
      </c>
      <c r="O924" s="15" t="s">
        <v>2329</v>
      </c>
      <c r="P924" s="15" t="s">
        <v>2330</v>
      </c>
    </row>
    <row r="925" ht="15.75" customHeight="1">
      <c r="A925" s="1" t="s">
        <v>2331</v>
      </c>
      <c r="B925" s="2">
        <v>772.0</v>
      </c>
      <c r="C925" s="1" t="s">
        <v>43</v>
      </c>
      <c r="D925" s="1" t="s">
        <v>2332</v>
      </c>
      <c r="E925" s="3">
        <v>45328.0</v>
      </c>
      <c r="F925" s="1" t="s">
        <v>3</v>
      </c>
      <c r="G925" s="4">
        <v>6.37020241E8</v>
      </c>
      <c r="H925" s="1" t="s">
        <v>2333</v>
      </c>
      <c r="I925" s="2"/>
      <c r="J925" s="1" t="s">
        <v>2334</v>
      </c>
      <c r="K925" s="1">
        <v>50.0</v>
      </c>
      <c r="L925" s="1"/>
      <c r="M925" s="5">
        <v>136.09</v>
      </c>
      <c r="N925" s="22">
        <f t="shared" si="1"/>
        <v>6804.5</v>
      </c>
    </row>
    <row r="926" ht="15.75" customHeight="1">
      <c r="A926" s="1" t="s">
        <v>2335</v>
      </c>
      <c r="B926" s="2">
        <v>775.0</v>
      </c>
      <c r="C926" s="1" t="s">
        <v>219</v>
      </c>
      <c r="D926" s="1" t="s">
        <v>2336</v>
      </c>
      <c r="E926" s="3">
        <v>45335.0</v>
      </c>
      <c r="F926" s="1" t="s">
        <v>3</v>
      </c>
      <c r="G926" s="4">
        <v>6.37021241E8</v>
      </c>
      <c r="H926" s="1" t="s">
        <v>2337</v>
      </c>
      <c r="I926" s="2"/>
      <c r="J926" s="1" t="s">
        <v>2334</v>
      </c>
      <c r="K926" s="1">
        <v>20.0</v>
      </c>
      <c r="L926" s="1"/>
      <c r="M926" s="5">
        <v>119.46</v>
      </c>
      <c r="N926" s="22">
        <f t="shared" si="1"/>
        <v>2389.2</v>
      </c>
      <c r="O926" s="15" t="s">
        <v>2338</v>
      </c>
      <c r="P926" s="15" t="s">
        <v>2339</v>
      </c>
    </row>
    <row r="927" ht="15.75" customHeight="1">
      <c r="A927" s="1" t="s">
        <v>2340</v>
      </c>
      <c r="B927" s="2">
        <v>782.0</v>
      </c>
      <c r="C927" s="1" t="s">
        <v>169</v>
      </c>
      <c r="D927" s="1" t="s">
        <v>2341</v>
      </c>
      <c r="E927" s="3">
        <v>45335.0</v>
      </c>
      <c r="F927" s="1" t="s">
        <v>3</v>
      </c>
      <c r="G927" s="4">
        <v>6.37024241E8</v>
      </c>
      <c r="H927" s="1" t="s">
        <v>2342</v>
      </c>
      <c r="I927" s="2"/>
      <c r="J927" s="1" t="s">
        <v>2334</v>
      </c>
      <c r="K927" s="1">
        <v>40.0</v>
      </c>
      <c r="L927" s="1"/>
      <c r="M927" s="5">
        <v>133.0</v>
      </c>
      <c r="N927" s="22">
        <f t="shared" si="1"/>
        <v>5320</v>
      </c>
    </row>
    <row r="928" ht="15.75" customHeight="1">
      <c r="A928" s="1" t="s">
        <v>2343</v>
      </c>
      <c r="B928" s="2">
        <v>779.0</v>
      </c>
      <c r="C928" s="1" t="s">
        <v>680</v>
      </c>
      <c r="D928" s="1" t="s">
        <v>2344</v>
      </c>
      <c r="E928" s="3">
        <v>45335.0</v>
      </c>
      <c r="F928" s="1" t="s">
        <v>3</v>
      </c>
      <c r="G928" s="4">
        <v>6.37025241E8</v>
      </c>
      <c r="H928" s="1" t="s">
        <v>2345</v>
      </c>
      <c r="I928" s="2"/>
      <c r="J928" s="1" t="s">
        <v>2334</v>
      </c>
      <c r="K928" s="1">
        <v>1.0</v>
      </c>
      <c r="L928" s="1"/>
      <c r="M928" s="5">
        <v>176.04</v>
      </c>
      <c r="N928" s="22">
        <f t="shared" si="1"/>
        <v>176.04</v>
      </c>
    </row>
    <row r="929" ht="15.75" customHeight="1">
      <c r="A929" s="1" t="s">
        <v>2346</v>
      </c>
      <c r="B929" s="2">
        <v>780.0</v>
      </c>
      <c r="C929" s="1" t="s">
        <v>47</v>
      </c>
      <c r="D929" s="1" t="s">
        <v>2347</v>
      </c>
      <c r="E929" s="3">
        <v>45335.0</v>
      </c>
      <c r="F929" s="1" t="s">
        <v>3</v>
      </c>
      <c r="G929" s="4">
        <v>6.37026241E8</v>
      </c>
      <c r="H929" s="1" t="s">
        <v>2348</v>
      </c>
      <c r="I929" s="2"/>
      <c r="J929" s="1" t="s">
        <v>2334</v>
      </c>
      <c r="K929" s="1">
        <v>10.0</v>
      </c>
      <c r="L929" s="1"/>
      <c r="M929" s="5">
        <v>133.0</v>
      </c>
      <c r="N929" s="22">
        <f t="shared" si="1"/>
        <v>1330</v>
      </c>
    </row>
    <row r="930" ht="15.75" customHeight="1">
      <c r="A930" s="1" t="s">
        <v>2349</v>
      </c>
      <c r="B930" s="2">
        <v>783.0</v>
      </c>
      <c r="C930" s="1" t="s">
        <v>219</v>
      </c>
      <c r="D930" s="1" t="s">
        <v>2350</v>
      </c>
      <c r="E930" s="3">
        <v>45350.0</v>
      </c>
      <c r="F930" s="1" t="s">
        <v>3</v>
      </c>
      <c r="G930" s="4">
        <v>6.37027241E8</v>
      </c>
      <c r="H930" s="1" t="s">
        <v>2351</v>
      </c>
      <c r="I930" s="2"/>
      <c r="J930" s="1" t="s">
        <v>2334</v>
      </c>
      <c r="K930" s="1">
        <v>25.0</v>
      </c>
      <c r="L930" s="1"/>
      <c r="M930" s="5">
        <v>119.46</v>
      </c>
      <c r="N930" s="22">
        <f t="shared" si="1"/>
        <v>2986.5</v>
      </c>
      <c r="O930" s="15" t="s">
        <v>2352</v>
      </c>
      <c r="P930" s="15" t="s">
        <v>2353</v>
      </c>
    </row>
    <row r="931" ht="15.75" customHeight="1">
      <c r="A931" s="1" t="s">
        <v>2354</v>
      </c>
      <c r="B931" s="2">
        <v>781.0</v>
      </c>
      <c r="C931" s="1" t="s">
        <v>2355</v>
      </c>
      <c r="D931" s="1" t="s">
        <v>2356</v>
      </c>
      <c r="E931" s="3">
        <v>45335.0</v>
      </c>
      <c r="F931" s="1" t="s">
        <v>3</v>
      </c>
      <c r="G931" s="4">
        <v>6.37028241E8</v>
      </c>
      <c r="H931" s="23" t="s">
        <v>2357</v>
      </c>
      <c r="I931" s="24"/>
      <c r="J931" s="23" t="s">
        <v>2334</v>
      </c>
      <c r="K931" s="23">
        <v>10.0</v>
      </c>
      <c r="L931" s="1"/>
      <c r="M931" s="5">
        <v>121.15</v>
      </c>
      <c r="N931" s="22">
        <f t="shared" si="1"/>
        <v>1211.5</v>
      </c>
      <c r="O931" s="15" t="s">
        <v>2358</v>
      </c>
      <c r="P931" s="15" t="s">
        <v>2359</v>
      </c>
    </row>
    <row r="932" ht="15.75" customHeight="1">
      <c r="A932" s="1" t="s">
        <v>2360</v>
      </c>
      <c r="B932" s="2">
        <v>790.0</v>
      </c>
      <c r="C932" s="1" t="s">
        <v>2355</v>
      </c>
      <c r="D932" s="1" t="s">
        <v>2361</v>
      </c>
      <c r="E932" s="3">
        <v>45350.0</v>
      </c>
      <c r="F932" s="1" t="s">
        <v>3</v>
      </c>
      <c r="G932" s="4">
        <v>6.37028241E8</v>
      </c>
      <c r="H932" s="23" t="s">
        <v>2357</v>
      </c>
      <c r="I932" s="24"/>
      <c r="J932" s="23" t="s">
        <v>2334</v>
      </c>
      <c r="K932" s="23">
        <v>10.0</v>
      </c>
      <c r="L932" s="1"/>
      <c r="M932" s="5">
        <v>121.15</v>
      </c>
      <c r="N932" s="22">
        <f t="shared" si="1"/>
        <v>1211.5</v>
      </c>
      <c r="O932" s="15" t="s">
        <v>2362</v>
      </c>
      <c r="P932" s="15" t="s">
        <v>2363</v>
      </c>
    </row>
    <row r="933" ht="15.75" customHeight="1">
      <c r="A933" s="1" t="s">
        <v>2364</v>
      </c>
      <c r="B933" s="2">
        <v>787.0</v>
      </c>
      <c r="C933" s="1" t="s">
        <v>1264</v>
      </c>
      <c r="D933" s="1" t="s">
        <v>2365</v>
      </c>
      <c r="E933" s="3">
        <v>45350.0</v>
      </c>
      <c r="F933" s="1" t="s">
        <v>3</v>
      </c>
      <c r="G933" s="4">
        <v>6.37031241E8</v>
      </c>
      <c r="H933" s="1" t="s">
        <v>2366</v>
      </c>
      <c r="I933" s="2"/>
      <c r="J933" s="1" t="s">
        <v>416</v>
      </c>
      <c r="K933" s="1">
        <v>50.0</v>
      </c>
      <c r="L933" s="1"/>
      <c r="M933" s="5">
        <v>133.83</v>
      </c>
      <c r="N933" s="22">
        <f t="shared" si="1"/>
        <v>6691.5</v>
      </c>
      <c r="O933" s="15" t="s">
        <v>2367</v>
      </c>
      <c r="P933" s="15" t="s">
        <v>2368</v>
      </c>
    </row>
    <row r="934" ht="15.75" customHeight="1">
      <c r="A934" s="1" t="s">
        <v>2364</v>
      </c>
      <c r="B934" s="2">
        <v>787.0</v>
      </c>
      <c r="C934" s="1" t="s">
        <v>1264</v>
      </c>
      <c r="D934" s="1" t="s">
        <v>2365</v>
      </c>
      <c r="E934" s="3">
        <v>45350.0</v>
      </c>
      <c r="F934" s="1" t="s">
        <v>3</v>
      </c>
      <c r="G934" s="4">
        <v>6.37034241E8</v>
      </c>
      <c r="H934" s="1" t="s">
        <v>2369</v>
      </c>
      <c r="I934" s="2"/>
      <c r="J934" s="1" t="s">
        <v>2334</v>
      </c>
      <c r="K934" s="1">
        <v>10.0</v>
      </c>
      <c r="L934" s="1"/>
      <c r="M934" s="5">
        <v>139.19</v>
      </c>
      <c r="N934" s="22">
        <f t="shared" si="1"/>
        <v>1391.9</v>
      </c>
    </row>
    <row r="935" ht="15.75" customHeight="1">
      <c r="A935" s="1" t="s">
        <v>2370</v>
      </c>
      <c r="B935" s="2">
        <v>789.0</v>
      </c>
      <c r="C935" s="1" t="s">
        <v>488</v>
      </c>
      <c r="D935" s="1" t="s">
        <v>2371</v>
      </c>
      <c r="E935" s="3">
        <v>45350.0</v>
      </c>
      <c r="F935" s="1" t="s">
        <v>3</v>
      </c>
      <c r="G935" s="4">
        <v>6.37037241E8</v>
      </c>
      <c r="H935" s="1" t="s">
        <v>2372</v>
      </c>
      <c r="I935" s="2"/>
      <c r="J935" s="1" t="s">
        <v>2334</v>
      </c>
      <c r="K935" s="1">
        <v>2.0</v>
      </c>
      <c r="L935" s="1"/>
      <c r="M935" s="5">
        <v>110.53</v>
      </c>
      <c r="N935" s="22">
        <f t="shared" si="1"/>
        <v>221.06</v>
      </c>
    </row>
    <row r="936" ht="15.75" customHeight="1">
      <c r="A936" s="1" t="s">
        <v>2373</v>
      </c>
      <c r="B936" s="2">
        <v>791.0</v>
      </c>
      <c r="C936" s="1" t="s">
        <v>464</v>
      </c>
      <c r="D936" s="1" t="s">
        <v>2374</v>
      </c>
      <c r="E936" s="3">
        <v>45350.0</v>
      </c>
      <c r="F936" s="1" t="s">
        <v>3</v>
      </c>
      <c r="G936" s="4">
        <v>6.37038241E8</v>
      </c>
      <c r="H936" s="1" t="s">
        <v>2375</v>
      </c>
      <c r="I936" s="2"/>
      <c r="J936" s="1" t="s">
        <v>2334</v>
      </c>
      <c r="K936" s="1">
        <v>20.0</v>
      </c>
      <c r="L936" s="1"/>
      <c r="M936" s="5">
        <v>144.07</v>
      </c>
      <c r="N936" s="22">
        <f t="shared" si="1"/>
        <v>2881.4</v>
      </c>
    </row>
    <row r="937" ht="15.75" customHeight="1">
      <c r="A937" s="1" t="s">
        <v>2376</v>
      </c>
      <c r="B937" s="2">
        <v>802.0</v>
      </c>
      <c r="C937" s="1" t="s">
        <v>872</v>
      </c>
      <c r="D937" s="1" t="s">
        <v>2377</v>
      </c>
      <c r="E937" s="3">
        <v>45370.0</v>
      </c>
      <c r="F937" s="1" t="s">
        <v>3</v>
      </c>
      <c r="G937" s="4">
        <v>6.37039241E8</v>
      </c>
      <c r="H937" s="1" t="s">
        <v>2378</v>
      </c>
      <c r="I937" s="2"/>
      <c r="J937" s="1" t="s">
        <v>2334</v>
      </c>
      <c r="K937" s="1">
        <v>150.0</v>
      </c>
      <c r="L937" s="1"/>
      <c r="M937" s="5">
        <v>153.56</v>
      </c>
      <c r="N937" s="22">
        <f t="shared" si="1"/>
        <v>23034</v>
      </c>
      <c r="O937" s="15" t="s">
        <v>2379</v>
      </c>
      <c r="P937" s="15" t="s">
        <v>2380</v>
      </c>
    </row>
    <row r="938" ht="15.75" customHeight="1">
      <c r="A938" s="1" t="s">
        <v>2381</v>
      </c>
      <c r="B938" s="2">
        <v>806.0</v>
      </c>
      <c r="C938" s="1" t="s">
        <v>461</v>
      </c>
      <c r="D938" s="1" t="s">
        <v>2382</v>
      </c>
      <c r="E938" s="3">
        <v>45370.0</v>
      </c>
      <c r="F938" s="1" t="s">
        <v>3</v>
      </c>
      <c r="G938" s="4">
        <v>6.37040241E8</v>
      </c>
      <c r="H938" s="1" t="s">
        <v>2383</v>
      </c>
      <c r="I938" s="2"/>
      <c r="J938" s="1" t="s">
        <v>2334</v>
      </c>
      <c r="K938" s="1">
        <v>100.0</v>
      </c>
      <c r="L938" s="1"/>
      <c r="M938" s="5">
        <v>133.0</v>
      </c>
      <c r="N938" s="22">
        <f t="shared" si="1"/>
        <v>13300</v>
      </c>
      <c r="O938" s="15" t="s">
        <v>2384</v>
      </c>
      <c r="P938" s="15" t="s">
        <v>2385</v>
      </c>
    </row>
    <row r="939" ht="15.75" customHeight="1">
      <c r="A939" s="1" t="s">
        <v>2386</v>
      </c>
      <c r="B939" s="2">
        <v>844.0</v>
      </c>
      <c r="C939" s="1" t="s">
        <v>219</v>
      </c>
      <c r="D939" s="1" t="s">
        <v>2387</v>
      </c>
      <c r="E939" s="3">
        <v>45441.0</v>
      </c>
      <c r="F939" s="1" t="s">
        <v>3</v>
      </c>
      <c r="G939" s="4">
        <v>6.37041241E8</v>
      </c>
      <c r="H939" s="1" t="s">
        <v>2388</v>
      </c>
      <c r="I939" s="2"/>
      <c r="J939" s="1" t="s">
        <v>416</v>
      </c>
      <c r="K939" s="1">
        <v>25.0</v>
      </c>
      <c r="L939" s="1"/>
      <c r="M939" s="5">
        <v>119.46</v>
      </c>
      <c r="N939" s="22">
        <f t="shared" si="1"/>
        <v>2986.5</v>
      </c>
      <c r="O939" s="15" t="s">
        <v>2389</v>
      </c>
      <c r="P939" s="15" t="s">
        <v>2353</v>
      </c>
    </row>
    <row r="940" ht="15.75" customHeight="1">
      <c r="A940" s="1" t="s">
        <v>2386</v>
      </c>
      <c r="B940" s="2">
        <v>844.0</v>
      </c>
      <c r="C940" s="1" t="s">
        <v>219</v>
      </c>
      <c r="D940" s="1" t="s">
        <v>2387</v>
      </c>
      <c r="E940" s="3">
        <v>45441.0</v>
      </c>
      <c r="F940" s="1" t="s">
        <v>3</v>
      </c>
      <c r="G940" s="4">
        <v>6.37042241E8</v>
      </c>
      <c r="H940" s="1" t="s">
        <v>2390</v>
      </c>
      <c r="I940" s="2"/>
      <c r="J940" s="1" t="s">
        <v>2334</v>
      </c>
      <c r="K940" s="1">
        <v>25.0</v>
      </c>
      <c r="L940" s="1"/>
      <c r="M940" s="5">
        <v>119.46</v>
      </c>
      <c r="N940" s="22">
        <f t="shared" si="1"/>
        <v>2986.5</v>
      </c>
      <c r="O940" s="15" t="s">
        <v>2391</v>
      </c>
      <c r="P940" s="15" t="s">
        <v>2392</v>
      </c>
    </row>
    <row r="941" ht="15.75" customHeight="1">
      <c r="A941" s="1" t="s">
        <v>2393</v>
      </c>
      <c r="B941" s="2">
        <v>823.0</v>
      </c>
      <c r="C941" s="1" t="s">
        <v>219</v>
      </c>
      <c r="D941" s="1" t="s">
        <v>2394</v>
      </c>
      <c r="E941" s="3">
        <v>45391.0</v>
      </c>
      <c r="F941" s="1" t="s">
        <v>3</v>
      </c>
      <c r="G941" s="4">
        <v>6.37043241E8</v>
      </c>
      <c r="H941" s="1" t="s">
        <v>2395</v>
      </c>
      <c r="I941" s="2"/>
      <c r="J941" s="1" t="s">
        <v>2334</v>
      </c>
      <c r="K941" s="1">
        <v>50.0</v>
      </c>
      <c r="L941" s="1"/>
      <c r="M941" s="5">
        <v>119.46</v>
      </c>
      <c r="N941" s="22">
        <f t="shared" si="1"/>
        <v>5973</v>
      </c>
      <c r="O941" s="15" t="s">
        <v>2396</v>
      </c>
      <c r="P941" s="15" t="s">
        <v>2397</v>
      </c>
    </row>
    <row r="942" ht="15.75" customHeight="1">
      <c r="A942" s="1" t="s">
        <v>2398</v>
      </c>
      <c r="B942" s="2">
        <v>800.0</v>
      </c>
      <c r="C942" s="1" t="s">
        <v>219</v>
      </c>
      <c r="D942" s="1" t="s">
        <v>2399</v>
      </c>
      <c r="E942" s="3">
        <v>45370.0</v>
      </c>
      <c r="F942" s="1" t="s">
        <v>3</v>
      </c>
      <c r="G942" s="4">
        <v>6.37047241E8</v>
      </c>
      <c r="H942" s="1" t="s">
        <v>2400</v>
      </c>
      <c r="I942" s="2"/>
      <c r="J942" s="1" t="s">
        <v>2334</v>
      </c>
      <c r="K942" s="1">
        <v>20.0</v>
      </c>
      <c r="L942" s="1"/>
      <c r="M942" s="5">
        <v>119.46</v>
      </c>
      <c r="N942" s="22">
        <f t="shared" si="1"/>
        <v>2389.2</v>
      </c>
      <c r="O942" s="15" t="s">
        <v>2401</v>
      </c>
      <c r="P942" s="15" t="s">
        <v>2402</v>
      </c>
    </row>
    <row r="943" ht="15.75" customHeight="1">
      <c r="A943" s="1" t="s">
        <v>2403</v>
      </c>
      <c r="B943" s="2">
        <v>797.0</v>
      </c>
      <c r="C943" s="1" t="s">
        <v>485</v>
      </c>
      <c r="D943" s="1" t="s">
        <v>2404</v>
      </c>
      <c r="E943" s="3">
        <v>45358.0</v>
      </c>
      <c r="F943" s="1" t="s">
        <v>3</v>
      </c>
      <c r="G943" s="4">
        <v>6.37050241E8</v>
      </c>
      <c r="H943" s="1" t="s">
        <v>2405</v>
      </c>
      <c r="I943" s="2"/>
      <c r="J943" s="1" t="s">
        <v>623</v>
      </c>
      <c r="K943" s="1">
        <v>1.0</v>
      </c>
      <c r="L943" s="1"/>
      <c r="M943" s="5">
        <v>236.13</v>
      </c>
      <c r="N943" s="22">
        <f t="shared" si="1"/>
        <v>236.13</v>
      </c>
      <c r="O943" s="15" t="s">
        <v>2406</v>
      </c>
      <c r="P943" s="15" t="s">
        <v>2407</v>
      </c>
    </row>
    <row r="944" ht="15.75" customHeight="1">
      <c r="A944" s="1" t="s">
        <v>2408</v>
      </c>
      <c r="B944" s="2">
        <v>804.0</v>
      </c>
      <c r="C944" s="1" t="s">
        <v>449</v>
      </c>
      <c r="D944" s="1" t="s">
        <v>2409</v>
      </c>
      <c r="E944" s="3">
        <v>45370.0</v>
      </c>
      <c r="F944" s="1" t="s">
        <v>3</v>
      </c>
      <c r="G944" s="4">
        <v>6.37051241E8</v>
      </c>
      <c r="H944" s="1" t="s">
        <v>2410</v>
      </c>
      <c r="I944" s="2"/>
      <c r="J944" s="1" t="s">
        <v>2334</v>
      </c>
      <c r="K944" s="1">
        <v>125.0</v>
      </c>
      <c r="L944" s="1"/>
      <c r="M944" s="5">
        <v>108.0</v>
      </c>
      <c r="N944" s="22">
        <f t="shared" si="1"/>
        <v>13500</v>
      </c>
      <c r="O944" s="15" t="s">
        <v>2411</v>
      </c>
      <c r="P944" s="15" t="s">
        <v>2412</v>
      </c>
    </row>
    <row r="945" ht="15.75" customHeight="1">
      <c r="A945" s="1" t="s">
        <v>2413</v>
      </c>
      <c r="B945" s="2">
        <v>796.0</v>
      </c>
      <c r="C945" s="1" t="s">
        <v>488</v>
      </c>
      <c r="D945" s="1" t="s">
        <v>2414</v>
      </c>
      <c r="E945" s="3">
        <v>45358.0</v>
      </c>
      <c r="F945" s="1" t="s">
        <v>3</v>
      </c>
      <c r="G945" s="4">
        <v>6.37053241E8</v>
      </c>
      <c r="H945" s="1" t="s">
        <v>2415</v>
      </c>
      <c r="I945" s="2"/>
      <c r="J945" s="1" t="s">
        <v>623</v>
      </c>
      <c r="K945" s="1">
        <v>5.0</v>
      </c>
      <c r="L945" s="1"/>
      <c r="M945" s="5">
        <v>110.53</v>
      </c>
      <c r="N945" s="22">
        <f t="shared" si="1"/>
        <v>552.65</v>
      </c>
    </row>
    <row r="946" ht="15.75" customHeight="1">
      <c r="A946" s="1" t="s">
        <v>2416</v>
      </c>
      <c r="B946" s="2">
        <v>834.0</v>
      </c>
      <c r="C946" s="1" t="s">
        <v>219</v>
      </c>
      <c r="D946" s="1" t="s">
        <v>2417</v>
      </c>
      <c r="E946" s="3">
        <v>45419.0</v>
      </c>
      <c r="F946" s="1" t="s">
        <v>3</v>
      </c>
      <c r="G946" s="4">
        <v>6.37054241E8</v>
      </c>
      <c r="H946" s="1" t="s">
        <v>2418</v>
      </c>
      <c r="I946" s="2"/>
      <c r="J946" s="1" t="s">
        <v>2334</v>
      </c>
      <c r="K946" s="1">
        <v>100.0</v>
      </c>
      <c r="L946" s="1"/>
      <c r="M946" s="5">
        <v>119.46</v>
      </c>
      <c r="N946" s="22">
        <f t="shared" si="1"/>
        <v>11946</v>
      </c>
      <c r="O946" s="15" t="s">
        <v>2419</v>
      </c>
      <c r="P946" s="15" t="s">
        <v>2420</v>
      </c>
    </row>
    <row r="947" ht="15.75" customHeight="1">
      <c r="A947" s="1" t="s">
        <v>2421</v>
      </c>
      <c r="B947" s="2">
        <v>803.0</v>
      </c>
      <c r="C947" s="1" t="s">
        <v>219</v>
      </c>
      <c r="D947" s="1" t="s">
        <v>2422</v>
      </c>
      <c r="E947" s="3">
        <v>45370.0</v>
      </c>
      <c r="F947" s="1" t="s">
        <v>3</v>
      </c>
      <c r="G947" s="4">
        <v>6.37055241E8</v>
      </c>
      <c r="H947" s="1" t="s">
        <v>2423</v>
      </c>
      <c r="I947" s="2"/>
      <c r="J947" s="1" t="s">
        <v>2334</v>
      </c>
      <c r="K947" s="1">
        <v>50.0</v>
      </c>
      <c r="L947" s="1"/>
      <c r="M947" s="5">
        <v>119.46</v>
      </c>
      <c r="N947" s="22">
        <f t="shared" si="1"/>
        <v>5973</v>
      </c>
      <c r="O947" s="15" t="s">
        <v>2424</v>
      </c>
      <c r="P947" s="15" t="s">
        <v>2425</v>
      </c>
    </row>
    <row r="948" ht="15.75" customHeight="1">
      <c r="A948" s="1" t="s">
        <v>2426</v>
      </c>
      <c r="B948" s="2">
        <v>1040.0</v>
      </c>
      <c r="C948" s="1" t="s">
        <v>748</v>
      </c>
      <c r="D948" s="1" t="s">
        <v>2427</v>
      </c>
      <c r="E948" s="3">
        <v>45736.0</v>
      </c>
      <c r="F948" s="1" t="s">
        <v>3</v>
      </c>
      <c r="G948" s="4">
        <v>6.37055251E8</v>
      </c>
      <c r="H948" s="1" t="s">
        <v>2428</v>
      </c>
      <c r="I948" s="2"/>
      <c r="J948" s="1" t="s">
        <v>2334</v>
      </c>
      <c r="K948" s="1">
        <v>23.0</v>
      </c>
      <c r="L948" s="1"/>
      <c r="M948" s="5">
        <v>172.24</v>
      </c>
      <c r="N948" s="22">
        <f t="shared" si="1"/>
        <v>3961.52</v>
      </c>
      <c r="O948" s="15" t="s">
        <v>2429</v>
      </c>
      <c r="P948" s="15" t="s">
        <v>2430</v>
      </c>
    </row>
    <row r="949" ht="15.75" customHeight="1">
      <c r="A949" s="1" t="s">
        <v>2431</v>
      </c>
      <c r="B949" s="2">
        <v>814.0</v>
      </c>
      <c r="C949" s="1" t="s">
        <v>219</v>
      </c>
      <c r="D949" s="1" t="s">
        <v>2432</v>
      </c>
      <c r="E949" s="3">
        <v>45390.0</v>
      </c>
      <c r="F949" s="1" t="s">
        <v>3</v>
      </c>
      <c r="G949" s="4">
        <v>6.37056241E8</v>
      </c>
      <c r="H949" s="1" t="s">
        <v>2433</v>
      </c>
      <c r="I949" s="2"/>
      <c r="J949" s="1" t="s">
        <v>2334</v>
      </c>
      <c r="K949" s="1">
        <v>20.0</v>
      </c>
      <c r="L949" s="1"/>
      <c r="M949" s="5">
        <v>119.46</v>
      </c>
      <c r="N949" s="22">
        <f t="shared" si="1"/>
        <v>2389.2</v>
      </c>
      <c r="O949" s="15" t="s">
        <v>2434</v>
      </c>
      <c r="P949" s="15" t="s">
        <v>2435</v>
      </c>
    </row>
    <row r="950" ht="15.75" customHeight="1">
      <c r="A950" s="1" t="s">
        <v>2436</v>
      </c>
      <c r="B950" s="2">
        <v>808.0</v>
      </c>
      <c r="C950" s="1" t="s">
        <v>464</v>
      </c>
      <c r="D950" s="1" t="s">
        <v>2437</v>
      </c>
      <c r="E950" s="3">
        <v>45371.0</v>
      </c>
      <c r="F950" s="1" t="s">
        <v>3</v>
      </c>
      <c r="G950" s="4">
        <v>6.37061241E8</v>
      </c>
      <c r="H950" s="1" t="s">
        <v>2438</v>
      </c>
      <c r="I950" s="2"/>
      <c r="J950" s="1" t="s">
        <v>2334</v>
      </c>
      <c r="K950" s="1">
        <v>20.0</v>
      </c>
      <c r="L950" s="1"/>
      <c r="M950" s="5">
        <v>144.07</v>
      </c>
      <c r="N950" s="22">
        <f t="shared" si="1"/>
        <v>2881.4</v>
      </c>
    </row>
    <row r="951" ht="15.75" customHeight="1">
      <c r="A951" s="1" t="s">
        <v>2439</v>
      </c>
      <c r="B951" s="2">
        <v>810.0</v>
      </c>
      <c r="C951" s="1" t="s">
        <v>219</v>
      </c>
      <c r="D951" s="1" t="s">
        <v>2440</v>
      </c>
      <c r="E951" s="3">
        <v>45377.0</v>
      </c>
      <c r="F951" s="1" t="s">
        <v>3</v>
      </c>
      <c r="G951" s="4">
        <v>6.37062241E8</v>
      </c>
      <c r="H951" s="1" t="s">
        <v>2441</v>
      </c>
      <c r="I951" s="2"/>
      <c r="J951" s="1" t="s">
        <v>2334</v>
      </c>
      <c r="K951" s="1">
        <v>25.0</v>
      </c>
      <c r="L951" s="1"/>
      <c r="M951" s="5">
        <v>119.46</v>
      </c>
      <c r="N951" s="22">
        <f t="shared" si="1"/>
        <v>2986.5</v>
      </c>
      <c r="O951" s="15" t="s">
        <v>2442</v>
      </c>
      <c r="P951" s="15" t="s">
        <v>2443</v>
      </c>
    </row>
    <row r="952" ht="15.75" customHeight="1">
      <c r="A952" s="1" t="s">
        <v>2444</v>
      </c>
      <c r="B952" s="2">
        <v>875.0</v>
      </c>
      <c r="C952" s="1" t="s">
        <v>569</v>
      </c>
      <c r="D952" s="1" t="s">
        <v>2445</v>
      </c>
      <c r="E952" s="3">
        <v>45482.0</v>
      </c>
      <c r="F952" s="1" t="s">
        <v>3</v>
      </c>
      <c r="G952" s="4">
        <v>6.37064241E8</v>
      </c>
      <c r="H952" s="1" t="s">
        <v>2446</v>
      </c>
      <c r="I952" s="2"/>
      <c r="J952" s="1" t="s">
        <v>623</v>
      </c>
      <c r="K952" s="1">
        <v>2.0</v>
      </c>
      <c r="L952" s="1"/>
      <c r="M952" s="5">
        <v>187.5</v>
      </c>
      <c r="N952" s="22">
        <f t="shared" si="1"/>
        <v>375</v>
      </c>
      <c r="O952" s="15" t="s">
        <v>2447</v>
      </c>
      <c r="P952" s="15" t="s">
        <v>2448</v>
      </c>
    </row>
    <row r="953" ht="15.75" customHeight="1">
      <c r="A953" s="1" t="s">
        <v>2449</v>
      </c>
      <c r="B953" s="2">
        <v>807.0</v>
      </c>
      <c r="C953" s="1" t="s">
        <v>126</v>
      </c>
      <c r="D953" s="1" t="s">
        <v>2450</v>
      </c>
      <c r="E953" s="3">
        <v>45370.0</v>
      </c>
      <c r="F953" s="1" t="s">
        <v>3</v>
      </c>
      <c r="G953" s="4">
        <v>6.37065241E8</v>
      </c>
      <c r="H953" s="1" t="s">
        <v>2451</v>
      </c>
      <c r="I953" s="2"/>
      <c r="J953" s="1" t="s">
        <v>2334</v>
      </c>
      <c r="K953" s="1">
        <v>5.0</v>
      </c>
      <c r="L953" s="1"/>
      <c r="M953" s="5">
        <v>162.34</v>
      </c>
      <c r="N953" s="22">
        <f t="shared" si="1"/>
        <v>811.7</v>
      </c>
      <c r="O953" s="15" t="s">
        <v>2232</v>
      </c>
      <c r="P953" s="15" t="s">
        <v>2452</v>
      </c>
    </row>
    <row r="954" ht="15.75" customHeight="1">
      <c r="A954" s="1" t="s">
        <v>2449</v>
      </c>
      <c r="B954" s="2">
        <v>807.0</v>
      </c>
      <c r="C954" s="1" t="s">
        <v>126</v>
      </c>
      <c r="D954" s="1" t="s">
        <v>2450</v>
      </c>
      <c r="E954" s="3">
        <v>45370.0</v>
      </c>
      <c r="F954" s="1" t="s">
        <v>3</v>
      </c>
      <c r="G954" s="4">
        <v>6.37066241E8</v>
      </c>
      <c r="H954" s="1" t="s">
        <v>2453</v>
      </c>
      <c r="I954" s="2"/>
      <c r="J954" s="1" t="s">
        <v>2334</v>
      </c>
      <c r="K954" s="1">
        <v>5.0</v>
      </c>
      <c r="L954" s="1"/>
      <c r="M954" s="5">
        <v>178.34</v>
      </c>
      <c r="N954" s="22">
        <f t="shared" si="1"/>
        <v>891.7</v>
      </c>
      <c r="O954" s="15" t="s">
        <v>2232</v>
      </c>
      <c r="P954" s="15" t="s">
        <v>2452</v>
      </c>
    </row>
    <row r="955" ht="15.75" customHeight="1">
      <c r="A955" s="1" t="s">
        <v>2454</v>
      </c>
      <c r="B955" s="2">
        <v>813.0</v>
      </c>
      <c r="C955" s="1" t="s">
        <v>518</v>
      </c>
      <c r="D955" s="1" t="s">
        <v>2455</v>
      </c>
      <c r="E955" s="3">
        <v>45377.0</v>
      </c>
      <c r="F955" s="1" t="s">
        <v>3</v>
      </c>
      <c r="G955" s="4">
        <v>6.37068241E8</v>
      </c>
      <c r="H955" s="1" t="s">
        <v>2456</v>
      </c>
      <c r="I955" s="2"/>
      <c r="J955" s="1" t="s">
        <v>2334</v>
      </c>
      <c r="K955" s="1">
        <v>10.0</v>
      </c>
      <c r="L955" s="1"/>
      <c r="M955" s="5">
        <v>140.63</v>
      </c>
      <c r="N955" s="22">
        <f t="shared" si="1"/>
        <v>1406.3</v>
      </c>
      <c r="O955" s="15" t="s">
        <v>2457</v>
      </c>
      <c r="P955" s="15" t="s">
        <v>2458</v>
      </c>
    </row>
    <row r="956" ht="15.75" customHeight="1">
      <c r="A956" s="1" t="s">
        <v>2459</v>
      </c>
      <c r="B956" s="2">
        <v>815.0</v>
      </c>
      <c r="C956" s="1" t="s">
        <v>219</v>
      </c>
      <c r="D956" s="1" t="s">
        <v>2460</v>
      </c>
      <c r="E956" s="3">
        <v>45390.0</v>
      </c>
      <c r="F956" s="1" t="s">
        <v>3</v>
      </c>
      <c r="G956" s="4">
        <v>6.37069241E8</v>
      </c>
      <c r="H956" s="1" t="s">
        <v>2461</v>
      </c>
      <c r="I956" s="2"/>
      <c r="J956" s="1" t="s">
        <v>2334</v>
      </c>
      <c r="K956" s="1">
        <v>70.0</v>
      </c>
      <c r="L956" s="1"/>
      <c r="M956" s="5">
        <v>119.46</v>
      </c>
      <c r="N956" s="22">
        <f t="shared" si="1"/>
        <v>8362.2</v>
      </c>
      <c r="O956" s="15" t="s">
        <v>2462</v>
      </c>
      <c r="P956" s="15" t="s">
        <v>2463</v>
      </c>
    </row>
    <row r="957" ht="15.75" customHeight="1">
      <c r="A957" s="1" t="s">
        <v>2464</v>
      </c>
      <c r="B957" s="2">
        <v>818.0</v>
      </c>
      <c r="C957" s="1" t="s">
        <v>219</v>
      </c>
      <c r="D957" s="1" t="s">
        <v>2465</v>
      </c>
      <c r="E957" s="3">
        <v>45390.0</v>
      </c>
      <c r="F957" s="1" t="s">
        <v>3</v>
      </c>
      <c r="G957" s="4">
        <v>6.37072241E8</v>
      </c>
      <c r="H957" s="1" t="s">
        <v>2466</v>
      </c>
      <c r="I957" s="2"/>
      <c r="J957" s="1" t="s">
        <v>2334</v>
      </c>
      <c r="K957" s="1">
        <v>25.0</v>
      </c>
      <c r="L957" s="1"/>
      <c r="M957" s="5">
        <v>119.46</v>
      </c>
      <c r="N957" s="22">
        <f t="shared" si="1"/>
        <v>2986.5</v>
      </c>
      <c r="O957" s="15" t="s">
        <v>2467</v>
      </c>
      <c r="P957" s="15" t="s">
        <v>2468</v>
      </c>
    </row>
    <row r="958" ht="15.75" customHeight="1">
      <c r="A958" s="1" t="s">
        <v>2469</v>
      </c>
      <c r="B958" s="2">
        <v>821.0</v>
      </c>
      <c r="C958" s="1" t="s">
        <v>675</v>
      </c>
      <c r="D958" s="1" t="s">
        <v>2470</v>
      </c>
      <c r="E958" s="3">
        <v>45390.0</v>
      </c>
      <c r="F958" s="1" t="s">
        <v>3</v>
      </c>
      <c r="G958" s="4">
        <v>6.37074241E8</v>
      </c>
      <c r="H958" s="1" t="s">
        <v>2471</v>
      </c>
      <c r="I958" s="2"/>
      <c r="J958" s="1" t="s">
        <v>2334</v>
      </c>
      <c r="K958" s="1">
        <v>10.0</v>
      </c>
      <c r="L958" s="1"/>
      <c r="M958" s="5">
        <v>151.06</v>
      </c>
      <c r="N958" s="22">
        <f t="shared" si="1"/>
        <v>1510.6</v>
      </c>
    </row>
    <row r="959" ht="15.75" customHeight="1">
      <c r="A959" s="1" t="s">
        <v>2472</v>
      </c>
      <c r="B959" s="2">
        <v>822.0</v>
      </c>
      <c r="C959" s="1" t="s">
        <v>449</v>
      </c>
      <c r="D959" s="1" t="s">
        <v>2473</v>
      </c>
      <c r="E959" s="3">
        <v>45390.0</v>
      </c>
      <c r="F959" s="1" t="s">
        <v>3</v>
      </c>
      <c r="G959" s="4">
        <v>6.37075241E8</v>
      </c>
      <c r="H959" s="1" t="s">
        <v>2474</v>
      </c>
      <c r="I959" s="2"/>
      <c r="J959" s="1" t="s">
        <v>2334</v>
      </c>
      <c r="K959" s="1">
        <v>125.0</v>
      </c>
      <c r="L959" s="1"/>
      <c r="M959" s="5">
        <v>108.0</v>
      </c>
      <c r="N959" s="22">
        <f t="shared" si="1"/>
        <v>13500</v>
      </c>
      <c r="O959" s="15" t="s">
        <v>2475</v>
      </c>
      <c r="P959" s="15" t="s">
        <v>2476</v>
      </c>
    </row>
    <row r="960" ht="15.75" customHeight="1">
      <c r="A960" s="1" t="s">
        <v>2477</v>
      </c>
      <c r="B960" s="2">
        <v>819.0</v>
      </c>
      <c r="C960" s="1" t="s">
        <v>488</v>
      </c>
      <c r="D960" s="1" t="s">
        <v>2478</v>
      </c>
      <c r="E960" s="3">
        <v>45390.0</v>
      </c>
      <c r="F960" s="1" t="s">
        <v>3</v>
      </c>
      <c r="G960" s="4">
        <v>6.37076241E8</v>
      </c>
      <c r="H960" s="1" t="s">
        <v>2479</v>
      </c>
      <c r="I960" s="2"/>
      <c r="J960" s="1" t="s">
        <v>2334</v>
      </c>
      <c r="K960" s="1">
        <v>3.0</v>
      </c>
      <c r="L960" s="1"/>
      <c r="M960" s="5">
        <v>110.53</v>
      </c>
      <c r="N960" s="22">
        <f t="shared" si="1"/>
        <v>331.59</v>
      </c>
    </row>
    <row r="961" ht="15.75" customHeight="1">
      <c r="A961" s="1" t="s">
        <v>2480</v>
      </c>
      <c r="B961" s="2">
        <v>827.0</v>
      </c>
      <c r="C961" s="1" t="s">
        <v>2481</v>
      </c>
      <c r="D961" s="1" t="s">
        <v>2482</v>
      </c>
      <c r="E961" s="3">
        <v>45397.0</v>
      </c>
      <c r="F961" s="1" t="s">
        <v>3</v>
      </c>
      <c r="G961" s="4">
        <v>6.37077241E8</v>
      </c>
      <c r="H961" s="1" t="s">
        <v>2483</v>
      </c>
      <c r="I961" s="2"/>
      <c r="J961" s="1" t="s">
        <v>2334</v>
      </c>
      <c r="K961" s="1">
        <v>20.0</v>
      </c>
      <c r="L961" s="1"/>
      <c r="M961" s="5">
        <v>149.07</v>
      </c>
      <c r="N961" s="22">
        <f t="shared" si="1"/>
        <v>2981.4</v>
      </c>
      <c r="O961" s="15" t="s">
        <v>2484</v>
      </c>
      <c r="P961" s="15" t="s">
        <v>2485</v>
      </c>
    </row>
    <row r="962" ht="15.75" customHeight="1">
      <c r="A962" s="1" t="s">
        <v>2486</v>
      </c>
      <c r="B962" s="2">
        <v>832.0</v>
      </c>
      <c r="C962" s="1" t="s">
        <v>2487</v>
      </c>
      <c r="D962" s="1" t="s">
        <v>2488</v>
      </c>
      <c r="E962" s="3">
        <v>45419.0</v>
      </c>
      <c r="F962" s="1" t="s">
        <v>3</v>
      </c>
      <c r="G962" s="4">
        <v>6.37078241E8</v>
      </c>
      <c r="H962" s="1" t="s">
        <v>2489</v>
      </c>
      <c r="I962" s="2"/>
      <c r="J962" s="1" t="s">
        <v>2334</v>
      </c>
      <c r="K962" s="1">
        <v>5.0</v>
      </c>
      <c r="L962" s="1"/>
      <c r="M962" s="5">
        <v>134.35</v>
      </c>
      <c r="N962" s="22">
        <f t="shared" si="1"/>
        <v>671.75</v>
      </c>
      <c r="O962" s="15" t="s">
        <v>2490</v>
      </c>
      <c r="P962" s="15" t="s">
        <v>2491</v>
      </c>
    </row>
    <row r="963" ht="15.75" customHeight="1">
      <c r="A963" s="1" t="s">
        <v>2492</v>
      </c>
      <c r="B963" s="2">
        <v>1152.0</v>
      </c>
      <c r="C963" s="1" t="s">
        <v>449</v>
      </c>
      <c r="D963" s="1" t="s">
        <v>2493</v>
      </c>
      <c r="E963" s="3">
        <v>45939.0</v>
      </c>
      <c r="F963" s="1" t="s">
        <v>3</v>
      </c>
      <c r="G963" s="4">
        <v>6.37181251E8</v>
      </c>
      <c r="H963" s="1" t="s">
        <v>2494</v>
      </c>
      <c r="I963" s="2"/>
      <c r="J963" s="1" t="s">
        <v>2334</v>
      </c>
      <c r="K963" s="1">
        <v>125.0</v>
      </c>
      <c r="L963" s="1"/>
      <c r="M963" s="5">
        <v>108.0</v>
      </c>
      <c r="N963" s="22">
        <f t="shared" si="1"/>
        <v>13500</v>
      </c>
    </row>
    <row r="964" ht="15.75" customHeight="1">
      <c r="A964" s="1" t="s">
        <v>2495</v>
      </c>
      <c r="B964" s="2">
        <v>1155.0</v>
      </c>
      <c r="C964" s="1" t="s">
        <v>1037</v>
      </c>
      <c r="D964" s="1" t="s">
        <v>2496</v>
      </c>
      <c r="E964" s="3">
        <v>45939.0</v>
      </c>
      <c r="F964" s="1" t="s">
        <v>3</v>
      </c>
      <c r="G964" s="4">
        <v>6.37193251E8</v>
      </c>
      <c r="H964" s="1" t="s">
        <v>2497</v>
      </c>
      <c r="I964" s="2"/>
      <c r="J964" s="1" t="s">
        <v>2334</v>
      </c>
      <c r="K964" s="1">
        <v>1.0</v>
      </c>
      <c r="L964" s="1"/>
      <c r="M964" s="5">
        <v>142.24</v>
      </c>
      <c r="N964" s="22">
        <f t="shared" si="1"/>
        <v>142.24</v>
      </c>
    </row>
    <row r="965" ht="15.75" customHeight="1">
      <c r="A965" s="1" t="s">
        <v>2498</v>
      </c>
      <c r="B965" s="2">
        <v>1157.0</v>
      </c>
      <c r="C965" s="1" t="s">
        <v>2499</v>
      </c>
      <c r="D965" s="1" t="s">
        <v>2500</v>
      </c>
      <c r="E965" s="3">
        <v>45939.0</v>
      </c>
      <c r="F965" s="1" t="s">
        <v>3</v>
      </c>
      <c r="G965" s="4">
        <v>6.37194251E8</v>
      </c>
      <c r="H965" s="1" t="s">
        <v>2501</v>
      </c>
      <c r="I965" s="2"/>
      <c r="J965" s="1" t="s">
        <v>2334</v>
      </c>
      <c r="K965" s="1">
        <v>20.0</v>
      </c>
      <c r="L965" s="1"/>
      <c r="M965" s="5">
        <v>130.0</v>
      </c>
      <c r="N965" s="22">
        <f t="shared" si="1"/>
        <v>2600</v>
      </c>
    </row>
    <row r="966" ht="15.75" customHeight="1">
      <c r="A966" s="1" t="s">
        <v>2502</v>
      </c>
      <c r="B966" s="2">
        <v>1162.0</v>
      </c>
      <c r="C966" s="1" t="s">
        <v>135</v>
      </c>
      <c r="D966" s="1" t="s">
        <v>2503</v>
      </c>
      <c r="E966" s="3">
        <v>45972.0</v>
      </c>
      <c r="F966" s="1" t="s">
        <v>3</v>
      </c>
      <c r="G966" s="4">
        <v>6.37195251E8</v>
      </c>
      <c r="H966" s="23" t="s">
        <v>2504</v>
      </c>
      <c r="I966" s="24"/>
      <c r="J966" s="23" t="s">
        <v>2505</v>
      </c>
      <c r="K966" s="23">
        <v>25.0</v>
      </c>
      <c r="L966" s="1"/>
      <c r="M966" s="5">
        <v>137.39</v>
      </c>
      <c r="N966" s="22">
        <f t="shared" si="1"/>
        <v>3434.75</v>
      </c>
      <c r="O966" s="15" t="s">
        <v>2506</v>
      </c>
      <c r="P966" s="15" t="s">
        <v>2507</v>
      </c>
    </row>
    <row r="967" ht="15.75" customHeight="1">
      <c r="A967" s="1" t="s">
        <v>2508</v>
      </c>
      <c r="B967" s="2">
        <v>1166.0</v>
      </c>
      <c r="C967" s="1" t="s">
        <v>219</v>
      </c>
      <c r="D967" s="1" t="s">
        <v>2509</v>
      </c>
      <c r="E967" s="3">
        <v>45972.0</v>
      </c>
      <c r="F967" s="1" t="s">
        <v>3</v>
      </c>
      <c r="G967" s="4">
        <v>6.37195251E8</v>
      </c>
      <c r="H967" s="23" t="s">
        <v>2504</v>
      </c>
      <c r="I967" s="24"/>
      <c r="J967" s="23" t="s">
        <v>2505</v>
      </c>
      <c r="K967" s="23">
        <v>100.0</v>
      </c>
      <c r="L967" s="1"/>
      <c r="M967" s="5">
        <v>119.46</v>
      </c>
      <c r="N967" s="22">
        <f t="shared" si="1"/>
        <v>11946</v>
      </c>
      <c r="O967" s="15" t="s">
        <v>2510</v>
      </c>
      <c r="P967" s="15" t="s">
        <v>2511</v>
      </c>
    </row>
    <row r="968" ht="15.75" customHeight="1">
      <c r="A968" s="1" t="s">
        <v>2512</v>
      </c>
      <c r="B968" s="2">
        <v>1167.0</v>
      </c>
      <c r="C968" s="1" t="s">
        <v>485</v>
      </c>
      <c r="D968" s="1" t="s">
        <v>2513</v>
      </c>
      <c r="E968" s="3">
        <v>45972.0</v>
      </c>
      <c r="F968" s="1" t="s">
        <v>3</v>
      </c>
      <c r="G968" s="4">
        <v>6.37195251E8</v>
      </c>
      <c r="H968" s="23" t="s">
        <v>2504</v>
      </c>
      <c r="I968" s="24"/>
      <c r="J968" s="23" t="s">
        <v>2505</v>
      </c>
      <c r="K968" s="23">
        <v>1.0</v>
      </c>
      <c r="L968" s="1"/>
      <c r="M968" s="5">
        <v>236.13</v>
      </c>
      <c r="N968" s="22">
        <f t="shared" si="1"/>
        <v>236.13</v>
      </c>
    </row>
    <row r="969" ht="15.75" customHeight="1">
      <c r="A969" s="1" t="s">
        <v>2514</v>
      </c>
      <c r="B969" s="2">
        <v>1165.0</v>
      </c>
      <c r="C969" s="1" t="s">
        <v>2515</v>
      </c>
      <c r="D969" s="1" t="s">
        <v>2516</v>
      </c>
      <c r="E969" s="3">
        <v>45972.0</v>
      </c>
      <c r="F969" s="1" t="s">
        <v>3</v>
      </c>
      <c r="G969" s="4">
        <v>6.37196251E8</v>
      </c>
      <c r="H969" s="1" t="s">
        <v>2517</v>
      </c>
      <c r="I969" s="2"/>
      <c r="J969" s="1" t="s">
        <v>2334</v>
      </c>
      <c r="K969" s="1">
        <v>10.0</v>
      </c>
      <c r="L969" s="1"/>
      <c r="M969" s="5">
        <v>161.82</v>
      </c>
      <c r="N969" s="22">
        <f t="shared" si="1"/>
        <v>1618.2</v>
      </c>
    </row>
    <row r="970" ht="15.75" customHeight="1">
      <c r="A970" s="1" t="s">
        <v>2518</v>
      </c>
      <c r="B970" s="2">
        <v>1164.0</v>
      </c>
      <c r="C970" s="1" t="s">
        <v>680</v>
      </c>
      <c r="D970" s="1" t="s">
        <v>2519</v>
      </c>
      <c r="E970" s="3">
        <v>45972.0</v>
      </c>
      <c r="F970" s="1" t="s">
        <v>3</v>
      </c>
      <c r="G970" s="4">
        <v>6.37197251E8</v>
      </c>
      <c r="H970" s="1" t="s">
        <v>2520</v>
      </c>
      <c r="I970" s="2"/>
      <c r="J970" s="1" t="s">
        <v>2334</v>
      </c>
      <c r="K970" s="1">
        <v>1.0</v>
      </c>
      <c r="L970" s="1"/>
      <c r="M970" s="5">
        <v>179.09</v>
      </c>
      <c r="N970" s="22">
        <f t="shared" si="1"/>
        <v>179.09</v>
      </c>
    </row>
    <row r="971" ht="15.75" customHeight="1">
      <c r="A971" s="1" t="s">
        <v>2498</v>
      </c>
      <c r="B971" s="2">
        <v>1157.0</v>
      </c>
      <c r="C971" s="1" t="s">
        <v>2499</v>
      </c>
      <c r="D971" s="1" t="s">
        <v>2500</v>
      </c>
      <c r="E971" s="3">
        <v>45939.0</v>
      </c>
      <c r="F971" s="1" t="s">
        <v>3</v>
      </c>
      <c r="G971" s="4">
        <v>6.37198251E8</v>
      </c>
      <c r="H971" s="1" t="s">
        <v>2521</v>
      </c>
      <c r="I971" s="2"/>
      <c r="J971" s="1" t="s">
        <v>2334</v>
      </c>
      <c r="K971" s="1">
        <v>50.0</v>
      </c>
      <c r="L971" s="1"/>
      <c r="M971" s="5">
        <v>68.0</v>
      </c>
      <c r="N971" s="22">
        <f t="shared" si="1"/>
        <v>3400</v>
      </c>
    </row>
    <row r="972" ht="15.75" customHeight="1">
      <c r="A972" s="1" t="s">
        <v>2522</v>
      </c>
      <c r="B972" s="2">
        <v>989.0</v>
      </c>
      <c r="C972" s="1" t="s">
        <v>362</v>
      </c>
      <c r="D972" s="1" t="s">
        <v>2523</v>
      </c>
      <c r="E972" s="3">
        <v>45698.0</v>
      </c>
      <c r="F972" s="1" t="s">
        <v>3</v>
      </c>
      <c r="G972" s="4">
        <v>6.38003251E8</v>
      </c>
      <c r="H972" s="1" t="s">
        <v>2524</v>
      </c>
      <c r="I972" s="2"/>
      <c r="J972" s="1" t="s">
        <v>1937</v>
      </c>
      <c r="K972" s="1">
        <v>25.0</v>
      </c>
      <c r="L972" s="1"/>
      <c r="M972" s="5">
        <v>120.44</v>
      </c>
      <c r="N972" s="22">
        <f t="shared" si="1"/>
        <v>3011</v>
      </c>
    </row>
    <row r="973" ht="15.75" customHeight="1">
      <c r="A973" s="1" t="s">
        <v>2525</v>
      </c>
      <c r="B973" s="2">
        <v>1003.0</v>
      </c>
      <c r="C973" s="1" t="s">
        <v>2526</v>
      </c>
      <c r="D973" s="1" t="s">
        <v>2527</v>
      </c>
      <c r="E973" s="3">
        <v>45698.0</v>
      </c>
      <c r="F973" s="1" t="s">
        <v>3</v>
      </c>
      <c r="G973" s="4">
        <v>6.38005251E8</v>
      </c>
      <c r="H973" s="1" t="s">
        <v>2528</v>
      </c>
      <c r="I973" s="2"/>
      <c r="J973" s="1" t="s">
        <v>1937</v>
      </c>
      <c r="K973" s="1">
        <v>60.0</v>
      </c>
      <c r="L973" s="1"/>
      <c r="M973" s="5">
        <v>123.19</v>
      </c>
      <c r="N973" s="22">
        <f t="shared" si="1"/>
        <v>7391.4</v>
      </c>
    </row>
    <row r="974" ht="15.75" customHeight="1">
      <c r="A974" s="1" t="s">
        <v>2529</v>
      </c>
      <c r="B974" s="2">
        <v>990.0</v>
      </c>
      <c r="C974" s="1" t="s">
        <v>488</v>
      </c>
      <c r="D974" s="1" t="s">
        <v>2530</v>
      </c>
      <c r="E974" s="3">
        <v>45698.0</v>
      </c>
      <c r="F974" s="1" t="s">
        <v>3</v>
      </c>
      <c r="G974" s="4">
        <v>6.38007251E8</v>
      </c>
      <c r="H974" s="1" t="s">
        <v>2531</v>
      </c>
      <c r="I974" s="2"/>
      <c r="J974" s="1" t="s">
        <v>1937</v>
      </c>
      <c r="K974" s="1">
        <v>1.0</v>
      </c>
      <c r="L974" s="1"/>
      <c r="M974" s="5">
        <v>129.06</v>
      </c>
      <c r="N974" s="22">
        <f t="shared" si="1"/>
        <v>129.06</v>
      </c>
    </row>
    <row r="975" ht="15.75" customHeight="1">
      <c r="A975" s="1" t="s">
        <v>2532</v>
      </c>
      <c r="B975" s="2">
        <v>1030.0</v>
      </c>
      <c r="C975" s="1" t="s">
        <v>422</v>
      </c>
      <c r="D975" s="1" t="s">
        <v>2533</v>
      </c>
      <c r="E975" s="3">
        <v>45728.0</v>
      </c>
      <c r="F975" s="1" t="s">
        <v>3</v>
      </c>
      <c r="G975" s="4">
        <v>6.38017251E8</v>
      </c>
      <c r="H975" s="1" t="s">
        <v>2534</v>
      </c>
      <c r="I975" s="2"/>
      <c r="J975" s="1" t="s">
        <v>1937</v>
      </c>
      <c r="K975" s="1">
        <v>1800.0</v>
      </c>
      <c r="L975" s="1"/>
      <c r="M975" s="5">
        <v>127.06</v>
      </c>
      <c r="N975" s="22">
        <f t="shared" si="1"/>
        <v>228708</v>
      </c>
      <c r="O975" s="15" t="s">
        <v>2535</v>
      </c>
      <c r="P975" s="15" t="s">
        <v>2536</v>
      </c>
    </row>
    <row r="976" ht="15.75" customHeight="1">
      <c r="A976" s="1" t="s">
        <v>2537</v>
      </c>
      <c r="B976" s="2">
        <v>1004.0</v>
      </c>
      <c r="C976" s="1" t="s">
        <v>2326</v>
      </c>
      <c r="D976" s="1" t="s">
        <v>2538</v>
      </c>
      <c r="E976" s="3">
        <v>45698.0</v>
      </c>
      <c r="F976" s="1" t="s">
        <v>3</v>
      </c>
      <c r="G976" s="4">
        <v>6.38019251E8</v>
      </c>
      <c r="H976" s="1" t="s">
        <v>2539</v>
      </c>
      <c r="I976" s="2"/>
      <c r="J976" s="1" t="s">
        <v>1937</v>
      </c>
      <c r="K976" s="1">
        <v>20.0</v>
      </c>
      <c r="L976" s="1"/>
      <c r="M976" s="5">
        <v>138.62</v>
      </c>
      <c r="N976" s="22">
        <f t="shared" si="1"/>
        <v>2772.4</v>
      </c>
      <c r="O976" s="15" t="s">
        <v>2540</v>
      </c>
      <c r="P976" s="15" t="s">
        <v>2541</v>
      </c>
    </row>
    <row r="977" ht="15.75" customHeight="1">
      <c r="A977" s="1" t="s">
        <v>2542</v>
      </c>
      <c r="B977" s="2">
        <v>999.0</v>
      </c>
      <c r="C977" s="1" t="s">
        <v>461</v>
      </c>
      <c r="D977" s="1" t="s">
        <v>2543</v>
      </c>
      <c r="E977" s="3">
        <v>45698.0</v>
      </c>
      <c r="F977" s="1" t="s">
        <v>3</v>
      </c>
      <c r="G977" s="4">
        <v>6.38020251E8</v>
      </c>
      <c r="H977" s="1" t="s">
        <v>2544</v>
      </c>
      <c r="I977" s="2"/>
      <c r="J977" s="1" t="s">
        <v>1937</v>
      </c>
      <c r="K977" s="1">
        <v>10.0</v>
      </c>
      <c r="L977" s="1"/>
      <c r="M977" s="5">
        <v>135.47</v>
      </c>
      <c r="N977" s="22">
        <f t="shared" si="1"/>
        <v>1354.7</v>
      </c>
    </row>
    <row r="978" ht="15.75" customHeight="1">
      <c r="A978" s="1" t="s">
        <v>2545</v>
      </c>
      <c r="B978" s="2">
        <v>1002.0</v>
      </c>
      <c r="C978" s="1" t="s">
        <v>122</v>
      </c>
      <c r="D978" s="1" t="s">
        <v>2546</v>
      </c>
      <c r="E978" s="3">
        <v>45698.0</v>
      </c>
      <c r="F978" s="1" t="s">
        <v>3</v>
      </c>
      <c r="G978" s="4">
        <v>6.38021251E8</v>
      </c>
      <c r="H978" s="1" t="s">
        <v>2547</v>
      </c>
      <c r="I978" s="2"/>
      <c r="J978" s="1" t="s">
        <v>1937</v>
      </c>
      <c r="K978" s="1">
        <v>20.0</v>
      </c>
      <c r="L978" s="1"/>
      <c r="M978" s="5">
        <v>154.81</v>
      </c>
      <c r="N978" s="22">
        <f t="shared" si="1"/>
        <v>3096.2</v>
      </c>
    </row>
    <row r="979" ht="15.75" customHeight="1">
      <c r="A979" s="1" t="s">
        <v>2548</v>
      </c>
      <c r="B979" s="2">
        <v>1009.0</v>
      </c>
      <c r="C979" s="1" t="s">
        <v>449</v>
      </c>
      <c r="D979" s="1" t="s">
        <v>2549</v>
      </c>
      <c r="E979" s="3">
        <v>45699.0</v>
      </c>
      <c r="F979" s="1" t="s">
        <v>3</v>
      </c>
      <c r="G979" s="4">
        <v>6.38023251E8</v>
      </c>
      <c r="H979" s="23" t="s">
        <v>2550</v>
      </c>
      <c r="I979" s="24"/>
      <c r="J979" s="23" t="s">
        <v>1937</v>
      </c>
      <c r="K979" s="23">
        <v>125.0</v>
      </c>
      <c r="L979" s="1"/>
      <c r="M979" s="5">
        <v>108.0</v>
      </c>
      <c r="N979" s="22">
        <f t="shared" si="1"/>
        <v>13500</v>
      </c>
    </row>
    <row r="980" ht="15.75" customHeight="1">
      <c r="A980" s="1" t="s">
        <v>2551</v>
      </c>
      <c r="B980" s="2">
        <v>1019.0</v>
      </c>
      <c r="C980" s="1" t="s">
        <v>449</v>
      </c>
      <c r="D980" s="1" t="s">
        <v>2552</v>
      </c>
      <c r="E980" s="3">
        <v>45708.0</v>
      </c>
      <c r="F980" s="1" t="s">
        <v>3</v>
      </c>
      <c r="G980" s="4">
        <v>6.38023251E8</v>
      </c>
      <c r="H980" s="23" t="s">
        <v>2550</v>
      </c>
      <c r="I980" s="24"/>
      <c r="J980" s="23" t="s">
        <v>1937</v>
      </c>
      <c r="K980" s="23">
        <v>150.0</v>
      </c>
      <c r="L980" s="1"/>
      <c r="M980" s="5">
        <v>108.0</v>
      </c>
      <c r="N980" s="22">
        <f t="shared" si="1"/>
        <v>16200</v>
      </c>
    </row>
    <row r="981" ht="15.75" customHeight="1">
      <c r="A981" s="1" t="s">
        <v>2553</v>
      </c>
      <c r="B981" s="2">
        <v>1008.0</v>
      </c>
      <c r="C981" s="1" t="s">
        <v>169</v>
      </c>
      <c r="D981" s="1" t="s">
        <v>2554</v>
      </c>
      <c r="E981" s="3">
        <v>45699.0</v>
      </c>
      <c r="F981" s="1" t="s">
        <v>3</v>
      </c>
      <c r="G981" s="4">
        <v>6.38024251E8</v>
      </c>
      <c r="H981" s="1" t="s">
        <v>2555</v>
      </c>
      <c r="I981" s="2"/>
      <c r="J981" s="1" t="s">
        <v>1937</v>
      </c>
      <c r="K981" s="1">
        <v>5.0</v>
      </c>
      <c r="L981" s="1"/>
      <c r="M981" s="5">
        <v>139.35</v>
      </c>
      <c r="N981" s="22">
        <f t="shared" si="1"/>
        <v>696.75</v>
      </c>
    </row>
    <row r="982" ht="15.75" customHeight="1">
      <c r="A982" s="1" t="s">
        <v>2556</v>
      </c>
      <c r="B982" s="2">
        <v>1020.0</v>
      </c>
      <c r="C982" s="1" t="s">
        <v>829</v>
      </c>
      <c r="D982" s="1" t="s">
        <v>2557</v>
      </c>
      <c r="E982" s="3">
        <v>45708.0</v>
      </c>
      <c r="F982" s="1" t="s">
        <v>3</v>
      </c>
      <c r="G982" s="4">
        <v>6.38027251E8</v>
      </c>
      <c r="H982" s="1" t="s">
        <v>2558</v>
      </c>
      <c r="I982" s="2"/>
      <c r="J982" s="1" t="s">
        <v>1937</v>
      </c>
      <c r="K982" s="1">
        <v>10.0</v>
      </c>
      <c r="L982" s="1"/>
      <c r="M982" s="5">
        <v>169.85</v>
      </c>
      <c r="N982" s="22">
        <f t="shared" si="1"/>
        <v>1698.5</v>
      </c>
    </row>
    <row r="983" ht="15.75" customHeight="1">
      <c r="A983" s="1" t="s">
        <v>2559</v>
      </c>
      <c r="B983" s="2">
        <v>1026.0</v>
      </c>
      <c r="C983" s="1" t="s">
        <v>461</v>
      </c>
      <c r="D983" s="1" t="s">
        <v>2560</v>
      </c>
      <c r="E983" s="3">
        <v>45716.0</v>
      </c>
      <c r="F983" s="1" t="s">
        <v>3</v>
      </c>
      <c r="G983" s="4">
        <v>6.38029251E8</v>
      </c>
      <c r="H983" s="1" t="s">
        <v>2561</v>
      </c>
      <c r="I983" s="2"/>
      <c r="J983" s="1" t="s">
        <v>1937</v>
      </c>
      <c r="K983" s="1">
        <v>200.0</v>
      </c>
      <c r="L983" s="1"/>
      <c r="M983" s="5">
        <v>133.0</v>
      </c>
      <c r="N983" s="22">
        <f t="shared" si="1"/>
        <v>26600</v>
      </c>
    </row>
    <row r="984" ht="15.75" customHeight="1">
      <c r="A984" s="1" t="s">
        <v>2562</v>
      </c>
      <c r="B984" s="2">
        <v>1034.0</v>
      </c>
      <c r="C984" s="1" t="s">
        <v>513</v>
      </c>
      <c r="D984" s="1" t="s">
        <v>2563</v>
      </c>
      <c r="E984" s="3">
        <v>45736.0</v>
      </c>
      <c r="F984" s="1" t="s">
        <v>3</v>
      </c>
      <c r="G984" s="4">
        <v>6.38030251E8</v>
      </c>
      <c r="H984" s="1" t="s">
        <v>2564</v>
      </c>
      <c r="I984" s="2"/>
      <c r="J984" s="1" t="s">
        <v>1937</v>
      </c>
      <c r="K984" s="1">
        <v>40.0</v>
      </c>
      <c r="L984" s="1"/>
      <c r="M984" s="5">
        <v>158.42</v>
      </c>
      <c r="N984" s="22">
        <f t="shared" si="1"/>
        <v>6336.8</v>
      </c>
      <c r="O984" s="15" t="s">
        <v>2565</v>
      </c>
      <c r="P984" s="15" t="s">
        <v>2566</v>
      </c>
    </row>
    <row r="985" ht="15.75" customHeight="1">
      <c r="A985" s="1" t="s">
        <v>2567</v>
      </c>
      <c r="B985" s="2">
        <v>1072.0</v>
      </c>
      <c r="C985" s="1" t="s">
        <v>513</v>
      </c>
      <c r="D985" s="1" t="s">
        <v>2568</v>
      </c>
      <c r="E985" s="3">
        <v>45860.0</v>
      </c>
      <c r="F985" s="1" t="s">
        <v>3</v>
      </c>
      <c r="G985" s="4">
        <v>6.38030251E8</v>
      </c>
      <c r="H985" s="1" t="s">
        <v>2564</v>
      </c>
      <c r="I985" s="2"/>
      <c r="J985" s="1" t="s">
        <v>1937</v>
      </c>
      <c r="K985" s="1">
        <v>40.0</v>
      </c>
      <c r="L985" s="1"/>
      <c r="M985" s="5">
        <v>158.42</v>
      </c>
      <c r="N985" s="22">
        <f t="shared" si="1"/>
        <v>6336.8</v>
      </c>
    </row>
    <row r="986" ht="15.75" customHeight="1">
      <c r="A986" s="1" t="s">
        <v>2569</v>
      </c>
      <c r="B986" s="2">
        <v>1044.0</v>
      </c>
      <c r="C986" s="1" t="s">
        <v>929</v>
      </c>
      <c r="D986" s="1" t="s">
        <v>2570</v>
      </c>
      <c r="E986" s="3">
        <v>45743.0</v>
      </c>
      <c r="F986" s="1" t="s">
        <v>3</v>
      </c>
      <c r="G986" s="4">
        <v>6.38031251E8</v>
      </c>
      <c r="H986" s="1" t="s">
        <v>2571</v>
      </c>
      <c r="I986" s="2"/>
      <c r="J986" s="1" t="s">
        <v>1937</v>
      </c>
      <c r="K986" s="1">
        <v>15.0</v>
      </c>
      <c r="L986" s="1"/>
      <c r="M986" s="5">
        <v>172.22</v>
      </c>
      <c r="N986" s="22">
        <f t="shared" si="1"/>
        <v>2583.3</v>
      </c>
    </row>
    <row r="987" ht="15.75" customHeight="1">
      <c r="A987" s="1" t="s">
        <v>2572</v>
      </c>
      <c r="B987" s="2">
        <v>1028.0</v>
      </c>
      <c r="C987" s="1" t="s">
        <v>362</v>
      </c>
      <c r="D987" s="1" t="s">
        <v>2573</v>
      </c>
      <c r="E987" s="3">
        <v>45719.0</v>
      </c>
      <c r="F987" s="1" t="s">
        <v>3</v>
      </c>
      <c r="G987" s="4">
        <v>6.38032251E8</v>
      </c>
      <c r="H987" s="1" t="s">
        <v>2574</v>
      </c>
      <c r="I987" s="2"/>
      <c r="J987" s="1" t="s">
        <v>1937</v>
      </c>
      <c r="K987" s="1">
        <v>25.0</v>
      </c>
      <c r="L987" s="1"/>
      <c r="M987" s="5">
        <v>120.44</v>
      </c>
      <c r="N987" s="22">
        <f t="shared" si="1"/>
        <v>3011</v>
      </c>
    </row>
    <row r="988" ht="15.75" customHeight="1">
      <c r="A988" s="1" t="s">
        <v>2575</v>
      </c>
      <c r="B988" s="2">
        <v>1029.0</v>
      </c>
      <c r="C988" s="29" t="s">
        <v>2576</v>
      </c>
      <c r="D988" s="1" t="s">
        <v>2577</v>
      </c>
      <c r="E988" s="3">
        <v>45719.0</v>
      </c>
      <c r="F988" s="1" t="s">
        <v>3</v>
      </c>
      <c r="G988" s="4">
        <v>6.38037251E8</v>
      </c>
      <c r="H988" s="1" t="s">
        <v>2578</v>
      </c>
      <c r="I988" s="2"/>
      <c r="J988" s="1" t="s">
        <v>1937</v>
      </c>
      <c r="K988" s="1">
        <v>25.0</v>
      </c>
      <c r="L988" s="1"/>
      <c r="M988" s="5">
        <v>136.36</v>
      </c>
      <c r="N988" s="22">
        <f t="shared" si="1"/>
        <v>3409</v>
      </c>
    </row>
    <row r="989" ht="15.75" customHeight="1">
      <c r="A989" s="1" t="s">
        <v>2579</v>
      </c>
      <c r="B989" s="2">
        <v>1035.0</v>
      </c>
      <c r="C989" s="1" t="s">
        <v>219</v>
      </c>
      <c r="D989" s="1" t="s">
        <v>2580</v>
      </c>
      <c r="E989" s="3">
        <v>45736.0</v>
      </c>
      <c r="F989" s="1" t="s">
        <v>3</v>
      </c>
      <c r="G989" s="4">
        <v>6.38037251E8</v>
      </c>
      <c r="H989" s="1" t="s">
        <v>2578</v>
      </c>
      <c r="I989" s="2"/>
      <c r="J989" s="1" t="s">
        <v>1937</v>
      </c>
      <c r="K989" s="1">
        <v>100.0</v>
      </c>
      <c r="L989" s="1"/>
      <c r="M989" s="5">
        <v>119.46</v>
      </c>
      <c r="N989" s="22">
        <f t="shared" si="1"/>
        <v>11946</v>
      </c>
      <c r="O989" s="15" t="s">
        <v>2581</v>
      </c>
      <c r="P989" s="15" t="s">
        <v>2582</v>
      </c>
    </row>
    <row r="990" ht="15.75" customHeight="1">
      <c r="A990" s="1" t="s">
        <v>2583</v>
      </c>
      <c r="B990" s="2">
        <v>1046.0</v>
      </c>
      <c r="C990" s="1" t="s">
        <v>255</v>
      </c>
      <c r="D990" s="1" t="s">
        <v>2584</v>
      </c>
      <c r="E990" s="3">
        <v>45743.0</v>
      </c>
      <c r="F990" s="1" t="s">
        <v>3</v>
      </c>
      <c r="G990" s="4">
        <v>6.38037251E8</v>
      </c>
      <c r="H990" s="23" t="s">
        <v>2578</v>
      </c>
      <c r="I990" s="24"/>
      <c r="J990" s="23" t="s">
        <v>1937</v>
      </c>
      <c r="K990" s="23">
        <v>200.0</v>
      </c>
      <c r="L990" s="1"/>
      <c r="M990" s="5">
        <v>153.56</v>
      </c>
      <c r="N990" s="22">
        <f t="shared" si="1"/>
        <v>30712</v>
      </c>
      <c r="O990" s="15" t="s">
        <v>2585</v>
      </c>
      <c r="P990" s="15" t="s">
        <v>2586</v>
      </c>
    </row>
    <row r="991" ht="15.75" customHeight="1">
      <c r="A991" s="1" t="s">
        <v>2587</v>
      </c>
      <c r="B991" s="2">
        <v>1059.0</v>
      </c>
      <c r="C991" s="1" t="s">
        <v>219</v>
      </c>
      <c r="D991" s="1" t="s">
        <v>2588</v>
      </c>
      <c r="E991" s="3">
        <v>45793.0</v>
      </c>
      <c r="F991" s="1" t="s">
        <v>3</v>
      </c>
      <c r="G991" s="4">
        <v>6.38037251E8</v>
      </c>
      <c r="H991" s="23" t="s">
        <v>2578</v>
      </c>
      <c r="I991" s="24"/>
      <c r="J991" s="23" t="s">
        <v>1937</v>
      </c>
      <c r="K991" s="23">
        <v>125.0</v>
      </c>
      <c r="L991" s="1"/>
      <c r="M991" s="5">
        <v>119.46</v>
      </c>
      <c r="N991" s="22">
        <f t="shared" si="1"/>
        <v>14932.5</v>
      </c>
    </row>
    <row r="992" ht="15.75" customHeight="1">
      <c r="A992" s="1" t="s">
        <v>2589</v>
      </c>
      <c r="B992" s="2">
        <v>1027.0</v>
      </c>
      <c r="C992" s="1" t="s">
        <v>485</v>
      </c>
      <c r="D992" s="1" t="s">
        <v>2590</v>
      </c>
      <c r="E992" s="3">
        <v>45719.0</v>
      </c>
      <c r="F992" s="1" t="s">
        <v>3</v>
      </c>
      <c r="G992" s="4">
        <v>6.38038251E8</v>
      </c>
      <c r="H992" s="1" t="s">
        <v>2591</v>
      </c>
      <c r="I992" s="2"/>
      <c r="J992" s="1" t="s">
        <v>1937</v>
      </c>
      <c r="K992" s="1">
        <v>1.0</v>
      </c>
      <c r="L992" s="1"/>
      <c r="M992" s="5">
        <v>236.13</v>
      </c>
      <c r="N992" s="22">
        <f t="shared" si="1"/>
        <v>236.13</v>
      </c>
    </row>
    <row r="993" ht="15.75" customHeight="1">
      <c r="A993" s="1" t="s">
        <v>2592</v>
      </c>
      <c r="B993" s="2">
        <v>1037.0</v>
      </c>
      <c r="C993" s="1" t="s">
        <v>449</v>
      </c>
      <c r="D993" s="1" t="s">
        <v>2593</v>
      </c>
      <c r="E993" s="3">
        <v>45736.0</v>
      </c>
      <c r="F993" s="1" t="s">
        <v>3</v>
      </c>
      <c r="G993" s="4">
        <v>6.38039251E8</v>
      </c>
      <c r="H993" s="1" t="s">
        <v>2594</v>
      </c>
      <c r="I993" s="2"/>
      <c r="J993" s="1" t="s">
        <v>1937</v>
      </c>
      <c r="K993" s="1">
        <v>125.0</v>
      </c>
      <c r="L993" s="1"/>
      <c r="M993" s="5">
        <v>108.0</v>
      </c>
      <c r="N993" s="22">
        <f t="shared" si="1"/>
        <v>13500</v>
      </c>
    </row>
    <row r="994" ht="15.75" customHeight="1">
      <c r="A994" s="1" t="s">
        <v>2595</v>
      </c>
      <c r="B994" s="2">
        <v>1039.0</v>
      </c>
      <c r="C994" s="1" t="s">
        <v>569</v>
      </c>
      <c r="D994" s="1" t="s">
        <v>2596</v>
      </c>
      <c r="E994" s="3">
        <v>45736.0</v>
      </c>
      <c r="F994" s="1" t="s">
        <v>3</v>
      </c>
      <c r="G994" s="4">
        <v>6.38051251E8</v>
      </c>
      <c r="H994" s="1" t="s">
        <v>2597</v>
      </c>
      <c r="I994" s="2"/>
      <c r="J994" s="1" t="s">
        <v>1937</v>
      </c>
      <c r="K994" s="1">
        <v>2.0</v>
      </c>
      <c r="L994" s="1"/>
      <c r="M994" s="5">
        <v>187.5</v>
      </c>
      <c r="N994" s="22">
        <f t="shared" si="1"/>
        <v>375</v>
      </c>
      <c r="O994" s="15" t="s">
        <v>2447</v>
      </c>
      <c r="P994" s="15" t="s">
        <v>2448</v>
      </c>
    </row>
    <row r="995" ht="15.75" customHeight="1">
      <c r="A995" s="1" t="s">
        <v>2598</v>
      </c>
      <c r="B995" s="2">
        <v>1038.0</v>
      </c>
      <c r="C995" s="1" t="s">
        <v>2515</v>
      </c>
      <c r="D995" s="1" t="s">
        <v>2599</v>
      </c>
      <c r="E995" s="3">
        <v>45736.0</v>
      </c>
      <c r="F995" s="1" t="s">
        <v>3</v>
      </c>
      <c r="G995" s="4">
        <v>6.38052251E8</v>
      </c>
      <c r="H995" s="1" t="s">
        <v>2600</v>
      </c>
      <c r="I995" s="2"/>
      <c r="J995" s="1" t="s">
        <v>1937</v>
      </c>
      <c r="K995" s="1">
        <v>10.0</v>
      </c>
      <c r="L995" s="1"/>
      <c r="M995" s="5">
        <v>161.82</v>
      </c>
      <c r="N995" s="22">
        <f t="shared" si="1"/>
        <v>1618.2</v>
      </c>
    </row>
    <row r="996" ht="15.75" customHeight="1">
      <c r="A996" s="1" t="s">
        <v>2601</v>
      </c>
      <c r="B996" s="2">
        <v>1036.0</v>
      </c>
      <c r="C996" s="1" t="s">
        <v>488</v>
      </c>
      <c r="D996" s="1" t="s">
        <v>2602</v>
      </c>
      <c r="E996" s="3">
        <v>45736.0</v>
      </c>
      <c r="F996" s="1" t="s">
        <v>3</v>
      </c>
      <c r="G996" s="4">
        <v>6.38053251E8</v>
      </c>
      <c r="H996" s="1" t="s">
        <v>2603</v>
      </c>
      <c r="I996" s="2"/>
      <c r="J996" s="1" t="s">
        <v>1937</v>
      </c>
      <c r="K996" s="1">
        <v>10.0</v>
      </c>
      <c r="L996" s="1"/>
      <c r="M996" s="5">
        <v>108.78</v>
      </c>
      <c r="N996" s="22">
        <f t="shared" si="1"/>
        <v>1087.8</v>
      </c>
    </row>
    <row r="997" ht="15.75" customHeight="1">
      <c r="A997" s="1" t="s">
        <v>2604</v>
      </c>
      <c r="B997" s="2">
        <v>1052.0</v>
      </c>
      <c r="C997" s="1" t="s">
        <v>488</v>
      </c>
      <c r="D997" s="1" t="s">
        <v>2605</v>
      </c>
      <c r="E997" s="3">
        <v>45743.0</v>
      </c>
      <c r="F997" s="1" t="s">
        <v>3</v>
      </c>
      <c r="G997" s="4">
        <v>6.38053251E8</v>
      </c>
      <c r="H997" s="1" t="s">
        <v>2603</v>
      </c>
      <c r="I997" s="2"/>
      <c r="J997" s="1" t="s">
        <v>1937</v>
      </c>
      <c r="K997" s="1">
        <v>2.0</v>
      </c>
      <c r="L997" s="1"/>
      <c r="M997" s="5">
        <v>115.45</v>
      </c>
      <c r="N997" s="22">
        <f t="shared" si="1"/>
        <v>230.9</v>
      </c>
    </row>
    <row r="998" ht="15.75" customHeight="1">
      <c r="A998" s="1" t="s">
        <v>2606</v>
      </c>
      <c r="B998" s="2">
        <v>1058.0</v>
      </c>
      <c r="C998" s="1" t="s">
        <v>449</v>
      </c>
      <c r="D998" s="1" t="s">
        <v>2607</v>
      </c>
      <c r="E998" s="3">
        <v>45793.0</v>
      </c>
      <c r="F998" s="1" t="s">
        <v>3</v>
      </c>
      <c r="G998" s="4">
        <v>6.38060251E8</v>
      </c>
      <c r="H998" s="1" t="s">
        <v>2608</v>
      </c>
      <c r="I998" s="2"/>
      <c r="J998" s="1" t="s">
        <v>1937</v>
      </c>
      <c r="K998" s="1">
        <v>125.0</v>
      </c>
      <c r="L998" s="1"/>
      <c r="M998" s="5">
        <v>108.0</v>
      </c>
      <c r="N998" s="22">
        <f t="shared" si="1"/>
        <v>13500</v>
      </c>
    </row>
    <row r="999" ht="15.75" customHeight="1">
      <c r="A999" s="1" t="s">
        <v>2609</v>
      </c>
      <c r="B999" s="2">
        <v>1051.0</v>
      </c>
      <c r="C999" s="1" t="s">
        <v>135</v>
      </c>
      <c r="D999" s="1" t="s">
        <v>2610</v>
      </c>
      <c r="E999" s="3">
        <v>45743.0</v>
      </c>
      <c r="F999" s="1" t="s">
        <v>3</v>
      </c>
      <c r="G999" s="4">
        <v>6.38061251E8</v>
      </c>
      <c r="H999" s="1" t="s">
        <v>2611</v>
      </c>
      <c r="I999" s="2"/>
      <c r="J999" s="1" t="s">
        <v>1937</v>
      </c>
      <c r="K999" s="1">
        <v>25.0</v>
      </c>
      <c r="L999" s="1"/>
      <c r="M999" s="5">
        <v>137.39</v>
      </c>
      <c r="N999" s="22">
        <f t="shared" si="1"/>
        <v>3434.75</v>
      </c>
    </row>
    <row r="1000" ht="15.75" customHeight="1">
      <c r="A1000" s="1" t="s">
        <v>2612</v>
      </c>
      <c r="B1000" s="2">
        <v>1050.0</v>
      </c>
      <c r="C1000" s="1" t="s">
        <v>362</v>
      </c>
      <c r="D1000" s="1" t="s">
        <v>2613</v>
      </c>
      <c r="E1000" s="3">
        <v>45743.0</v>
      </c>
      <c r="F1000" s="1" t="s">
        <v>3</v>
      </c>
      <c r="G1000" s="4">
        <v>6.38062251E8</v>
      </c>
      <c r="H1000" s="1" t="s">
        <v>2614</v>
      </c>
      <c r="I1000" s="2"/>
      <c r="J1000" s="1" t="s">
        <v>1937</v>
      </c>
      <c r="K1000" s="1">
        <v>15.0</v>
      </c>
      <c r="L1000" s="1"/>
      <c r="M1000" s="5">
        <v>121.29</v>
      </c>
      <c r="N1000" s="22">
        <f t="shared" si="1"/>
        <v>1819.35</v>
      </c>
    </row>
    <row r="1001" ht="15.75" customHeight="1">
      <c r="A1001" s="1" t="s">
        <v>1696</v>
      </c>
      <c r="B1001" s="2">
        <v>1048.0</v>
      </c>
      <c r="C1001" s="1" t="s">
        <v>1264</v>
      </c>
      <c r="D1001" s="1" t="s">
        <v>1697</v>
      </c>
      <c r="E1001" s="3">
        <v>45743.0</v>
      </c>
      <c r="F1001" s="1" t="s">
        <v>3</v>
      </c>
      <c r="G1001" s="4">
        <v>6.38065251E8</v>
      </c>
      <c r="H1001" s="1" t="s">
        <v>2615</v>
      </c>
      <c r="I1001" s="2"/>
      <c r="J1001" s="1" t="s">
        <v>1937</v>
      </c>
      <c r="K1001" s="1">
        <v>5.0</v>
      </c>
      <c r="L1001" s="1"/>
      <c r="M1001" s="5">
        <v>133.83</v>
      </c>
      <c r="N1001" s="22">
        <f t="shared" si="1"/>
        <v>669.15</v>
      </c>
    </row>
    <row r="1002" ht="15.75" customHeight="1">
      <c r="A1002" s="1" t="s">
        <v>2616</v>
      </c>
      <c r="B1002" s="2">
        <v>1053.0</v>
      </c>
      <c r="C1002" s="1" t="s">
        <v>1037</v>
      </c>
      <c r="D1002" s="1" t="s">
        <v>2617</v>
      </c>
      <c r="E1002" s="3">
        <v>45744.0</v>
      </c>
      <c r="F1002" s="1" t="s">
        <v>3</v>
      </c>
      <c r="G1002" s="4">
        <v>6.38067251E8</v>
      </c>
      <c r="H1002" s="1" t="s">
        <v>2618</v>
      </c>
      <c r="I1002" s="2"/>
      <c r="J1002" s="1" t="s">
        <v>1937</v>
      </c>
      <c r="K1002" s="1">
        <v>1.0</v>
      </c>
      <c r="L1002" s="1"/>
      <c r="M1002" s="5">
        <v>142.24</v>
      </c>
      <c r="N1002" s="22">
        <f t="shared" si="1"/>
        <v>142.24</v>
      </c>
    </row>
    <row r="1003" ht="15.75" customHeight="1">
      <c r="A1003" s="1" t="s">
        <v>2619</v>
      </c>
      <c r="B1003" s="2">
        <v>1115.0</v>
      </c>
      <c r="C1003" s="1" t="s">
        <v>680</v>
      </c>
      <c r="D1003" s="1" t="s">
        <v>2620</v>
      </c>
      <c r="E1003" s="3">
        <v>45875.0</v>
      </c>
      <c r="F1003" s="1" t="s">
        <v>3</v>
      </c>
      <c r="G1003" s="4">
        <v>6.38069251E8</v>
      </c>
      <c r="H1003" s="1" t="s">
        <v>2621</v>
      </c>
      <c r="I1003" s="2"/>
      <c r="J1003" s="1" t="s">
        <v>1937</v>
      </c>
      <c r="K1003" s="1">
        <v>1.0</v>
      </c>
      <c r="L1003" s="1"/>
      <c r="M1003" s="5">
        <v>179.09</v>
      </c>
      <c r="N1003" s="22">
        <f t="shared" si="1"/>
        <v>179.09</v>
      </c>
    </row>
    <row r="1004" ht="15.75" customHeight="1">
      <c r="A1004" s="1" t="s">
        <v>2622</v>
      </c>
      <c r="B1004" s="2">
        <v>1061.0</v>
      </c>
      <c r="C1004" s="1" t="s">
        <v>2623</v>
      </c>
      <c r="D1004" s="1" t="s">
        <v>2624</v>
      </c>
      <c r="E1004" s="3">
        <v>45793.0</v>
      </c>
      <c r="F1004" s="1" t="s">
        <v>3</v>
      </c>
      <c r="G1004" s="4">
        <v>6.38074251E8</v>
      </c>
      <c r="H1004" s="1" t="s">
        <v>2625</v>
      </c>
      <c r="I1004" s="2"/>
      <c r="J1004" s="1" t="s">
        <v>1937</v>
      </c>
      <c r="K1004" s="1">
        <v>1.0</v>
      </c>
      <c r="L1004" s="1"/>
      <c r="M1004" s="5">
        <v>2677.16</v>
      </c>
      <c r="N1004" s="22">
        <f t="shared" si="1"/>
        <v>2677.16</v>
      </c>
    </row>
    <row r="1005" ht="15.75" customHeight="1">
      <c r="A1005" s="1" t="s">
        <v>2626</v>
      </c>
      <c r="B1005" s="2">
        <v>1063.0</v>
      </c>
      <c r="C1005" s="1" t="s">
        <v>631</v>
      </c>
      <c r="D1005" s="1" t="s">
        <v>2627</v>
      </c>
      <c r="E1005" s="3">
        <v>45793.0</v>
      </c>
      <c r="F1005" s="1" t="s">
        <v>3</v>
      </c>
      <c r="G1005" s="4">
        <v>6.38080251E8</v>
      </c>
      <c r="H1005" s="1" t="s">
        <v>2628</v>
      </c>
      <c r="I1005" s="2"/>
      <c r="J1005" s="1" t="s">
        <v>1937</v>
      </c>
      <c r="K1005" s="1">
        <v>10.0</v>
      </c>
      <c r="L1005" s="1"/>
      <c r="M1005" s="5">
        <v>124.78</v>
      </c>
      <c r="N1005" s="22">
        <f t="shared" si="1"/>
        <v>1247.8</v>
      </c>
    </row>
    <row r="1006" ht="15.75" customHeight="1">
      <c r="A1006" s="1" t="s">
        <v>2629</v>
      </c>
      <c r="B1006" s="2">
        <v>1064.0</v>
      </c>
      <c r="C1006" s="1" t="s">
        <v>631</v>
      </c>
      <c r="D1006" s="1" t="s">
        <v>2630</v>
      </c>
      <c r="E1006" s="3">
        <v>45793.0</v>
      </c>
      <c r="F1006" s="1" t="s">
        <v>86</v>
      </c>
      <c r="G1006" s="4">
        <v>6.38080251E8</v>
      </c>
      <c r="H1006" s="1" t="s">
        <v>2628</v>
      </c>
      <c r="I1006" s="2"/>
      <c r="J1006" s="1" t="s">
        <v>1937</v>
      </c>
      <c r="K1006" s="1">
        <v>10.0</v>
      </c>
      <c r="L1006" s="1"/>
      <c r="M1006" s="5">
        <v>124.78</v>
      </c>
      <c r="N1006" s="22">
        <f t="shared" si="1"/>
        <v>1247.8</v>
      </c>
    </row>
    <row r="1007" ht="15.75" customHeight="1">
      <c r="A1007" s="1" t="s">
        <v>2631</v>
      </c>
      <c r="B1007" s="2">
        <v>1066.0</v>
      </c>
      <c r="C1007" s="1" t="s">
        <v>461</v>
      </c>
      <c r="D1007" s="1" t="s">
        <v>2632</v>
      </c>
      <c r="E1007" s="3">
        <v>45793.0</v>
      </c>
      <c r="F1007" s="1" t="s">
        <v>3</v>
      </c>
      <c r="G1007" s="4">
        <v>6.38081251E8</v>
      </c>
      <c r="H1007" s="1" t="s">
        <v>2633</v>
      </c>
      <c r="I1007" s="2"/>
      <c r="J1007" s="1" t="s">
        <v>1937</v>
      </c>
      <c r="K1007" s="1">
        <v>10.0</v>
      </c>
      <c r="L1007" s="1"/>
      <c r="M1007" s="5">
        <v>135.47</v>
      </c>
      <c r="N1007" s="22">
        <f t="shared" si="1"/>
        <v>1354.7</v>
      </c>
      <c r="O1007" s="15" t="s">
        <v>2634</v>
      </c>
      <c r="P1007" s="15" t="s">
        <v>2635</v>
      </c>
    </row>
    <row r="1008" ht="15.75" customHeight="1">
      <c r="A1008" s="1" t="s">
        <v>2636</v>
      </c>
      <c r="B1008" s="2">
        <v>1071.0</v>
      </c>
      <c r="C1008" s="1" t="s">
        <v>422</v>
      </c>
      <c r="D1008" s="1" t="s">
        <v>2637</v>
      </c>
      <c r="E1008" s="3">
        <v>45793.0</v>
      </c>
      <c r="F1008" s="1" t="s">
        <v>3</v>
      </c>
      <c r="G1008" s="4">
        <v>6.38083251E8</v>
      </c>
      <c r="H1008" s="1" t="s">
        <v>2638</v>
      </c>
      <c r="I1008" s="2"/>
      <c r="J1008" s="1" t="s">
        <v>1937</v>
      </c>
      <c r="K1008" s="1">
        <v>1800.0</v>
      </c>
      <c r="L1008" s="1"/>
      <c r="M1008" s="5">
        <v>127.06</v>
      </c>
      <c r="N1008" s="22">
        <f t="shared" si="1"/>
        <v>228708</v>
      </c>
    </row>
    <row r="1009" ht="15.75" customHeight="1">
      <c r="A1009" s="1" t="s">
        <v>2386</v>
      </c>
      <c r="B1009" s="2">
        <v>844.0</v>
      </c>
      <c r="C1009" s="1" t="s">
        <v>219</v>
      </c>
      <c r="D1009" s="1" t="s">
        <v>2387</v>
      </c>
      <c r="E1009" s="3">
        <v>45441.0</v>
      </c>
      <c r="F1009" s="1" t="s">
        <v>3</v>
      </c>
      <c r="G1009" s="4">
        <v>6.38085241E8</v>
      </c>
      <c r="H1009" s="1" t="s">
        <v>2639</v>
      </c>
      <c r="I1009" s="2"/>
      <c r="J1009" s="1" t="s">
        <v>2640</v>
      </c>
      <c r="K1009" s="1">
        <v>25.0</v>
      </c>
      <c r="L1009" s="1"/>
      <c r="M1009" s="5">
        <v>119.46</v>
      </c>
      <c r="N1009" s="22">
        <f t="shared" si="1"/>
        <v>2986.5</v>
      </c>
    </row>
    <row r="1010" ht="15.75" customHeight="1">
      <c r="A1010" s="1" t="s">
        <v>2641</v>
      </c>
      <c r="B1010" s="2">
        <v>836.0</v>
      </c>
      <c r="C1010" s="1" t="s">
        <v>449</v>
      </c>
      <c r="D1010" s="1" t="s">
        <v>2642</v>
      </c>
      <c r="E1010" s="3">
        <v>45419.0</v>
      </c>
      <c r="F1010" s="1" t="s">
        <v>3</v>
      </c>
      <c r="G1010" s="4">
        <v>6.38086241E8</v>
      </c>
      <c r="H1010" s="1" t="s">
        <v>2643</v>
      </c>
      <c r="I1010" s="2"/>
      <c r="J1010" s="1" t="s">
        <v>2640</v>
      </c>
      <c r="K1010" s="1">
        <v>125.0</v>
      </c>
      <c r="L1010" s="1"/>
      <c r="M1010" s="5">
        <v>108.0</v>
      </c>
      <c r="N1010" s="22">
        <f t="shared" si="1"/>
        <v>13500</v>
      </c>
    </row>
    <row r="1011" ht="15.75" customHeight="1">
      <c r="A1011" s="1" t="s">
        <v>2644</v>
      </c>
      <c r="B1011" s="2">
        <v>833.0</v>
      </c>
      <c r="C1011" s="1" t="s">
        <v>461</v>
      </c>
      <c r="D1011" s="1" t="s">
        <v>2645</v>
      </c>
      <c r="E1011" s="3">
        <v>45419.0</v>
      </c>
      <c r="F1011" s="1" t="s">
        <v>3</v>
      </c>
      <c r="G1011" s="4">
        <v>6.38087241E8</v>
      </c>
      <c r="H1011" s="1" t="s">
        <v>2646</v>
      </c>
      <c r="I1011" s="2"/>
      <c r="J1011" s="1" t="s">
        <v>2640</v>
      </c>
      <c r="K1011" s="1">
        <v>100.0</v>
      </c>
      <c r="L1011" s="1"/>
      <c r="M1011" s="5">
        <v>133.0</v>
      </c>
      <c r="N1011" s="22">
        <f t="shared" si="1"/>
        <v>13300</v>
      </c>
    </row>
    <row r="1012" ht="15.75" customHeight="1">
      <c r="A1012" s="1" t="s">
        <v>2647</v>
      </c>
      <c r="B1012" s="2">
        <v>1068.0</v>
      </c>
      <c r="C1012" s="1" t="s">
        <v>449</v>
      </c>
      <c r="D1012" s="1" t="s">
        <v>2648</v>
      </c>
      <c r="E1012" s="3">
        <v>45793.0</v>
      </c>
      <c r="F1012" s="1" t="s">
        <v>3</v>
      </c>
      <c r="G1012" s="4">
        <v>6.38087251E8</v>
      </c>
      <c r="H1012" s="1" t="s">
        <v>2649</v>
      </c>
      <c r="I1012" s="2"/>
      <c r="J1012" s="1" t="s">
        <v>623</v>
      </c>
      <c r="K1012" s="1">
        <v>125.0</v>
      </c>
      <c r="L1012" s="1"/>
      <c r="M1012" s="5">
        <v>108.0</v>
      </c>
      <c r="N1012" s="22">
        <f t="shared" si="1"/>
        <v>13500</v>
      </c>
    </row>
    <row r="1013" ht="15.75" customHeight="1">
      <c r="A1013" s="1" t="s">
        <v>2650</v>
      </c>
      <c r="B1013" s="2">
        <v>1069.0</v>
      </c>
      <c r="C1013" s="1" t="s">
        <v>449</v>
      </c>
      <c r="D1013" s="1" t="s">
        <v>2651</v>
      </c>
      <c r="E1013" s="3">
        <v>45793.0</v>
      </c>
      <c r="F1013" s="1" t="s">
        <v>3</v>
      </c>
      <c r="G1013" s="4">
        <v>6.38087251E8</v>
      </c>
      <c r="H1013" s="1" t="s">
        <v>2649</v>
      </c>
      <c r="I1013" s="2"/>
      <c r="J1013" s="1" t="s">
        <v>1937</v>
      </c>
      <c r="K1013" s="1">
        <v>125.0</v>
      </c>
      <c r="L1013" s="1"/>
      <c r="M1013" s="5">
        <v>108.0</v>
      </c>
      <c r="N1013" s="22">
        <f t="shared" si="1"/>
        <v>13500</v>
      </c>
    </row>
    <row r="1014" ht="15.75" customHeight="1">
      <c r="A1014" s="1" t="s">
        <v>2652</v>
      </c>
      <c r="B1014" s="2">
        <v>839.0</v>
      </c>
      <c r="C1014" s="1" t="s">
        <v>1058</v>
      </c>
      <c r="D1014" s="1" t="s">
        <v>2653</v>
      </c>
      <c r="E1014" s="3">
        <v>45426.0</v>
      </c>
      <c r="F1014" s="1" t="s">
        <v>3</v>
      </c>
      <c r="G1014" s="4">
        <v>6.38088241E8</v>
      </c>
      <c r="H1014" s="1" t="s">
        <v>2654</v>
      </c>
      <c r="I1014" s="2"/>
      <c r="J1014" s="1" t="s">
        <v>2640</v>
      </c>
      <c r="K1014" s="1">
        <v>75.0</v>
      </c>
      <c r="L1014" s="1"/>
      <c r="M1014" s="5">
        <v>151.36</v>
      </c>
      <c r="N1014" s="22">
        <f t="shared" si="1"/>
        <v>11352</v>
      </c>
      <c r="O1014" s="15" t="s">
        <v>2655</v>
      </c>
      <c r="P1014" s="15" t="s">
        <v>2656</v>
      </c>
    </row>
    <row r="1015" ht="15.75" customHeight="1">
      <c r="A1015" s="1" t="s">
        <v>2657</v>
      </c>
      <c r="B1015" s="2">
        <v>1077.0</v>
      </c>
      <c r="C1015" s="1" t="s">
        <v>255</v>
      </c>
      <c r="D1015" s="1" t="s">
        <v>2658</v>
      </c>
      <c r="E1015" s="3">
        <v>45860.0</v>
      </c>
      <c r="F1015" s="1" t="s">
        <v>3</v>
      </c>
      <c r="G1015" s="4">
        <v>6.38088251E8</v>
      </c>
      <c r="H1015" s="1" t="s">
        <v>2659</v>
      </c>
      <c r="I1015" s="2"/>
      <c r="J1015" s="1" t="s">
        <v>1937</v>
      </c>
      <c r="K1015" s="1">
        <v>200.0</v>
      </c>
      <c r="L1015" s="1"/>
      <c r="M1015" s="5">
        <v>153.56</v>
      </c>
      <c r="N1015" s="22">
        <f t="shared" si="1"/>
        <v>30712</v>
      </c>
    </row>
    <row r="1016" ht="15.75" customHeight="1">
      <c r="A1016" s="1" t="s">
        <v>2660</v>
      </c>
      <c r="B1016" s="2">
        <v>1078.0</v>
      </c>
      <c r="C1016" s="1" t="s">
        <v>219</v>
      </c>
      <c r="D1016" s="1" t="s">
        <v>2661</v>
      </c>
      <c r="E1016" s="3">
        <v>45860.0</v>
      </c>
      <c r="F1016" s="1" t="s">
        <v>3</v>
      </c>
      <c r="G1016" s="4">
        <v>6.38088251E8</v>
      </c>
      <c r="H1016" s="1" t="s">
        <v>2659</v>
      </c>
      <c r="I1016" s="2"/>
      <c r="J1016" s="1" t="s">
        <v>1937</v>
      </c>
      <c r="K1016" s="1">
        <v>50.0</v>
      </c>
      <c r="L1016" s="1"/>
      <c r="M1016" s="5">
        <v>119.46</v>
      </c>
      <c r="N1016" s="22">
        <f t="shared" si="1"/>
        <v>5973</v>
      </c>
      <c r="O1016" s="15" t="s">
        <v>2662</v>
      </c>
      <c r="P1016" s="15" t="s">
        <v>2663</v>
      </c>
    </row>
    <row r="1017" ht="15.75" customHeight="1">
      <c r="A1017" s="1" t="s">
        <v>2664</v>
      </c>
      <c r="B1017" s="2">
        <v>829.0</v>
      </c>
      <c r="C1017" s="1" t="s">
        <v>809</v>
      </c>
      <c r="D1017" s="1" t="s">
        <v>2665</v>
      </c>
      <c r="E1017" s="3">
        <v>45399.0</v>
      </c>
      <c r="F1017" s="1" t="s">
        <v>3</v>
      </c>
      <c r="G1017" s="4">
        <v>6.38089241E8</v>
      </c>
      <c r="H1017" s="1" t="s">
        <v>2666</v>
      </c>
      <c r="I1017" s="2"/>
      <c r="J1017" s="1" t="s">
        <v>2640</v>
      </c>
      <c r="K1017" s="1">
        <v>5.0</v>
      </c>
      <c r="L1017" s="1"/>
      <c r="M1017" s="5">
        <v>182.08</v>
      </c>
      <c r="N1017" s="22">
        <f t="shared" si="1"/>
        <v>910.4</v>
      </c>
    </row>
    <row r="1018" ht="15.75" customHeight="1">
      <c r="A1018" s="1" t="s">
        <v>2667</v>
      </c>
      <c r="B1018" s="2">
        <v>835.0</v>
      </c>
      <c r="C1018" s="1" t="s">
        <v>219</v>
      </c>
      <c r="D1018" s="1" t="s">
        <v>2668</v>
      </c>
      <c r="E1018" s="3">
        <v>45419.0</v>
      </c>
      <c r="F1018" s="1" t="s">
        <v>3</v>
      </c>
      <c r="G1018" s="4">
        <v>6.38096241E8</v>
      </c>
      <c r="H1018" s="1" t="s">
        <v>2669</v>
      </c>
      <c r="I1018" s="2"/>
      <c r="J1018" s="1" t="s">
        <v>1937</v>
      </c>
      <c r="K1018" s="1">
        <v>75.0</v>
      </c>
      <c r="L1018" s="1"/>
      <c r="M1018" s="5">
        <v>119.46</v>
      </c>
      <c r="N1018" s="22">
        <f t="shared" si="1"/>
        <v>8959.5</v>
      </c>
    </row>
    <row r="1019" ht="15.75" customHeight="1">
      <c r="A1019" s="1" t="s">
        <v>2386</v>
      </c>
      <c r="B1019" s="2">
        <v>844.0</v>
      </c>
      <c r="C1019" s="1" t="s">
        <v>219</v>
      </c>
      <c r="D1019" s="1" t="s">
        <v>2387</v>
      </c>
      <c r="E1019" s="3">
        <v>45441.0</v>
      </c>
      <c r="F1019" s="1" t="s">
        <v>3</v>
      </c>
      <c r="G1019" s="4">
        <v>6.38097241E8</v>
      </c>
      <c r="H1019" s="1" t="s">
        <v>2670</v>
      </c>
      <c r="I1019" s="2"/>
      <c r="J1019" s="1" t="s">
        <v>1937</v>
      </c>
      <c r="K1019" s="1">
        <v>100.0</v>
      </c>
      <c r="L1019" s="1"/>
      <c r="M1019" s="5">
        <v>119.46</v>
      </c>
      <c r="N1019" s="22">
        <f t="shared" si="1"/>
        <v>11946</v>
      </c>
    </row>
    <row r="1020" ht="15.75" customHeight="1">
      <c r="A1020" s="1" t="s">
        <v>2671</v>
      </c>
      <c r="B1020" s="2">
        <v>881.0</v>
      </c>
      <c r="C1020" s="1" t="s">
        <v>255</v>
      </c>
      <c r="D1020" s="1" t="s">
        <v>2672</v>
      </c>
      <c r="E1020" s="3">
        <v>45492.0</v>
      </c>
      <c r="F1020" s="1" t="s">
        <v>3</v>
      </c>
      <c r="G1020" s="4">
        <v>6.38097241E8</v>
      </c>
      <c r="H1020" s="1" t="s">
        <v>2670</v>
      </c>
      <c r="I1020" s="2"/>
      <c r="J1020" s="1" t="s">
        <v>1937</v>
      </c>
      <c r="K1020" s="1">
        <v>100.0</v>
      </c>
      <c r="L1020" s="1"/>
      <c r="M1020" s="5">
        <v>153.56</v>
      </c>
      <c r="N1020" s="22">
        <f t="shared" si="1"/>
        <v>15356</v>
      </c>
    </row>
    <row r="1021" ht="15.75" customHeight="1">
      <c r="A1021" s="1" t="s">
        <v>2673</v>
      </c>
      <c r="B1021" s="2">
        <v>955.0</v>
      </c>
      <c r="C1021" s="1" t="s">
        <v>219</v>
      </c>
      <c r="D1021" s="1" t="s">
        <v>2674</v>
      </c>
      <c r="E1021" s="3">
        <v>45602.0</v>
      </c>
      <c r="F1021" s="1" t="s">
        <v>3</v>
      </c>
      <c r="G1021" s="4">
        <v>6.38097241E8</v>
      </c>
      <c r="H1021" s="1" t="s">
        <v>2670</v>
      </c>
      <c r="I1021" s="2"/>
      <c r="J1021" s="1" t="s">
        <v>1937</v>
      </c>
      <c r="K1021" s="1">
        <v>50.0</v>
      </c>
      <c r="L1021" s="1"/>
      <c r="M1021" s="5">
        <v>119.46</v>
      </c>
      <c r="N1021" s="22">
        <f t="shared" si="1"/>
        <v>5973</v>
      </c>
    </row>
    <row r="1022" ht="15.75" customHeight="1">
      <c r="A1022" s="1" t="s">
        <v>2675</v>
      </c>
      <c r="B1022" s="2">
        <v>1074.0</v>
      </c>
      <c r="C1022" s="1" t="s">
        <v>804</v>
      </c>
      <c r="D1022" s="1" t="s">
        <v>2676</v>
      </c>
      <c r="E1022" s="3">
        <v>45860.0</v>
      </c>
      <c r="F1022" s="1" t="s">
        <v>3</v>
      </c>
      <c r="G1022" s="4">
        <v>6.38097251E8</v>
      </c>
      <c r="H1022" s="1" t="s">
        <v>2677</v>
      </c>
      <c r="I1022" s="2"/>
      <c r="J1022" s="1" t="s">
        <v>1937</v>
      </c>
      <c r="K1022" s="1">
        <v>25.0</v>
      </c>
      <c r="L1022" s="1"/>
      <c r="M1022" s="5">
        <v>128.65</v>
      </c>
      <c r="N1022" s="22">
        <f t="shared" si="1"/>
        <v>3216.25</v>
      </c>
      <c r="O1022" s="15" t="s">
        <v>2678</v>
      </c>
      <c r="P1022" s="15" t="s">
        <v>2679</v>
      </c>
    </row>
    <row r="1023" ht="15.75" customHeight="1">
      <c r="A1023" s="1" t="s">
        <v>2680</v>
      </c>
      <c r="B1023" s="2">
        <v>841.0</v>
      </c>
      <c r="C1023" s="1" t="s">
        <v>449</v>
      </c>
      <c r="D1023" s="1" t="s">
        <v>2681</v>
      </c>
      <c r="E1023" s="3">
        <v>45427.0</v>
      </c>
      <c r="F1023" s="1" t="s">
        <v>3</v>
      </c>
      <c r="G1023" s="4">
        <v>6.38098241E8</v>
      </c>
      <c r="H1023" s="1" t="s">
        <v>2682</v>
      </c>
      <c r="I1023" s="2"/>
      <c r="J1023" s="1" t="s">
        <v>1937</v>
      </c>
      <c r="K1023" s="1">
        <v>125.0</v>
      </c>
      <c r="L1023" s="1"/>
      <c r="M1023" s="5">
        <v>108.0</v>
      </c>
      <c r="N1023" s="22">
        <f t="shared" si="1"/>
        <v>13500</v>
      </c>
    </row>
    <row r="1024" ht="15.75" customHeight="1">
      <c r="A1024" s="1" t="s">
        <v>2683</v>
      </c>
      <c r="B1024" s="2">
        <v>857.0</v>
      </c>
      <c r="C1024" s="1" t="s">
        <v>449</v>
      </c>
      <c r="D1024" s="1" t="s">
        <v>2684</v>
      </c>
      <c r="E1024" s="3">
        <v>45455.0</v>
      </c>
      <c r="F1024" s="1" t="s">
        <v>3</v>
      </c>
      <c r="G1024" s="4">
        <v>6.38098241E8</v>
      </c>
      <c r="H1024" s="1" t="s">
        <v>2682</v>
      </c>
      <c r="I1024" s="2"/>
      <c r="J1024" s="1" t="s">
        <v>623</v>
      </c>
      <c r="K1024" s="1">
        <v>125.0</v>
      </c>
      <c r="L1024" s="1"/>
      <c r="M1024" s="5">
        <v>108.0</v>
      </c>
      <c r="N1024" s="22">
        <f t="shared" si="1"/>
        <v>13500</v>
      </c>
    </row>
    <row r="1025" ht="15.75" customHeight="1">
      <c r="A1025" s="1" t="s">
        <v>2685</v>
      </c>
      <c r="B1025" s="2">
        <v>867.0</v>
      </c>
      <c r="C1025" s="1" t="s">
        <v>449</v>
      </c>
      <c r="D1025" s="1" t="s">
        <v>2686</v>
      </c>
      <c r="E1025" s="3">
        <v>45469.0</v>
      </c>
      <c r="F1025" s="1" t="s">
        <v>3</v>
      </c>
      <c r="G1025" s="4">
        <v>6.38098241E8</v>
      </c>
      <c r="H1025" s="1" t="s">
        <v>2682</v>
      </c>
      <c r="I1025" s="2"/>
      <c r="J1025" s="1" t="s">
        <v>623</v>
      </c>
      <c r="K1025" s="1">
        <v>125.0</v>
      </c>
      <c r="L1025" s="1"/>
      <c r="M1025" s="5">
        <v>108.0</v>
      </c>
      <c r="N1025" s="22">
        <f t="shared" si="1"/>
        <v>13500</v>
      </c>
    </row>
    <row r="1026" ht="15.75" customHeight="1">
      <c r="A1026" s="1" t="s">
        <v>2687</v>
      </c>
      <c r="B1026" s="2">
        <v>873.0</v>
      </c>
      <c r="C1026" s="1" t="s">
        <v>449</v>
      </c>
      <c r="D1026" s="1" t="s">
        <v>2688</v>
      </c>
      <c r="E1026" s="3">
        <v>45476.0</v>
      </c>
      <c r="F1026" s="1" t="s">
        <v>3</v>
      </c>
      <c r="G1026" s="4">
        <v>6.38098241E8</v>
      </c>
      <c r="H1026" s="1" t="s">
        <v>2682</v>
      </c>
      <c r="I1026" s="2"/>
      <c r="J1026" s="1" t="s">
        <v>623</v>
      </c>
      <c r="K1026" s="1">
        <v>125.0</v>
      </c>
      <c r="L1026" s="1"/>
      <c r="M1026" s="5">
        <v>108.0</v>
      </c>
      <c r="N1026" s="22">
        <f t="shared" si="1"/>
        <v>13500</v>
      </c>
    </row>
    <row r="1027" ht="15.75" customHeight="1">
      <c r="A1027" s="1" t="s">
        <v>1799</v>
      </c>
      <c r="B1027" s="2">
        <v>1073.0</v>
      </c>
      <c r="C1027" s="1" t="s">
        <v>169</v>
      </c>
      <c r="D1027" s="1" t="s">
        <v>1800</v>
      </c>
      <c r="E1027" s="3">
        <v>45860.0</v>
      </c>
      <c r="F1027" s="1" t="s">
        <v>3</v>
      </c>
      <c r="G1027" s="4">
        <v>6.38099251E8</v>
      </c>
      <c r="H1027" s="1" t="s">
        <v>2689</v>
      </c>
      <c r="I1027" s="2"/>
      <c r="J1027" s="1" t="s">
        <v>1937</v>
      </c>
      <c r="K1027" s="1">
        <v>60.0</v>
      </c>
      <c r="L1027" s="1"/>
      <c r="M1027" s="5">
        <v>133.19</v>
      </c>
      <c r="N1027" s="22">
        <f t="shared" si="1"/>
        <v>7991.4</v>
      </c>
    </row>
    <row r="1028" ht="15.75" customHeight="1">
      <c r="A1028" s="1" t="s">
        <v>2690</v>
      </c>
      <c r="B1028" s="2">
        <v>1075.0</v>
      </c>
      <c r="C1028" s="1" t="s">
        <v>47</v>
      </c>
      <c r="D1028" s="1" t="s">
        <v>2691</v>
      </c>
      <c r="E1028" s="3">
        <v>45860.0</v>
      </c>
      <c r="F1028" s="1" t="s">
        <v>3</v>
      </c>
      <c r="G1028" s="4">
        <v>6.38100251E8</v>
      </c>
      <c r="H1028" s="1" t="s">
        <v>2692</v>
      </c>
      <c r="I1028" s="2"/>
      <c r="J1028" s="1" t="s">
        <v>1937</v>
      </c>
      <c r="K1028" s="1">
        <v>10.0</v>
      </c>
      <c r="L1028" s="1"/>
      <c r="M1028" s="5">
        <v>134.42</v>
      </c>
      <c r="N1028" s="22">
        <f t="shared" si="1"/>
        <v>1344.2</v>
      </c>
    </row>
    <row r="1029" ht="15.75" customHeight="1">
      <c r="A1029" s="1" t="s">
        <v>2693</v>
      </c>
      <c r="B1029" s="2">
        <v>837.0</v>
      </c>
      <c r="C1029" s="1" t="s">
        <v>362</v>
      </c>
      <c r="D1029" s="1" t="s">
        <v>2694</v>
      </c>
      <c r="E1029" s="3">
        <v>45419.0</v>
      </c>
      <c r="F1029" s="1" t="s">
        <v>3</v>
      </c>
      <c r="G1029" s="4">
        <v>6.38101241E8</v>
      </c>
      <c r="H1029" s="1" t="s">
        <v>2695</v>
      </c>
      <c r="I1029" s="2"/>
      <c r="J1029" s="1" t="s">
        <v>1937</v>
      </c>
      <c r="K1029" s="1">
        <v>25.0</v>
      </c>
      <c r="L1029" s="1"/>
      <c r="M1029" s="5">
        <v>123.86</v>
      </c>
      <c r="N1029" s="22">
        <f t="shared" si="1"/>
        <v>3096.5</v>
      </c>
      <c r="O1029" s="15" t="s">
        <v>2696</v>
      </c>
      <c r="P1029" s="15" t="s">
        <v>2697</v>
      </c>
    </row>
    <row r="1030" ht="15.75" customHeight="1">
      <c r="A1030" s="1" t="s">
        <v>2698</v>
      </c>
      <c r="B1030" s="2">
        <v>838.0</v>
      </c>
      <c r="C1030" s="1" t="s">
        <v>1264</v>
      </c>
      <c r="D1030" s="1">
        <v>2318.0</v>
      </c>
      <c r="E1030" s="3">
        <v>45426.0</v>
      </c>
      <c r="F1030" s="1" t="s">
        <v>3</v>
      </c>
      <c r="G1030" s="4">
        <v>6.38104241E8</v>
      </c>
      <c r="H1030" s="1" t="s">
        <v>2699</v>
      </c>
      <c r="I1030" s="2"/>
      <c r="J1030" s="1" t="s">
        <v>440</v>
      </c>
      <c r="K1030" s="1">
        <v>10.0</v>
      </c>
      <c r="L1030" s="1"/>
      <c r="M1030" s="5">
        <v>217.63</v>
      </c>
      <c r="N1030" s="22">
        <f t="shared" si="1"/>
        <v>2176.3</v>
      </c>
    </row>
    <row r="1031" ht="15.75" customHeight="1">
      <c r="A1031" s="1" t="s">
        <v>2700</v>
      </c>
      <c r="B1031" s="2">
        <v>1084.0</v>
      </c>
      <c r="C1031" s="1" t="s">
        <v>449</v>
      </c>
      <c r="D1031" s="1" t="s">
        <v>2701</v>
      </c>
      <c r="E1031" s="3">
        <v>45861.0</v>
      </c>
      <c r="F1031" s="1" t="s">
        <v>3</v>
      </c>
      <c r="G1031" s="4">
        <v>6.38104251E8</v>
      </c>
      <c r="H1031" s="1" t="s">
        <v>2702</v>
      </c>
      <c r="I1031" s="2"/>
      <c r="J1031" s="1" t="s">
        <v>1937</v>
      </c>
      <c r="K1031" s="1">
        <v>10.0</v>
      </c>
      <c r="L1031" s="1"/>
      <c r="M1031" s="5">
        <v>140.54</v>
      </c>
      <c r="N1031" s="22">
        <f t="shared" si="1"/>
        <v>1405.4</v>
      </c>
    </row>
    <row r="1032" ht="15.75" customHeight="1">
      <c r="A1032" s="1" t="s">
        <v>2703</v>
      </c>
      <c r="B1032" s="2">
        <v>1085.0</v>
      </c>
      <c r="C1032" s="1" t="s">
        <v>449</v>
      </c>
      <c r="D1032" s="1" t="s">
        <v>2704</v>
      </c>
      <c r="E1032" s="3">
        <v>45861.0</v>
      </c>
      <c r="F1032" s="1" t="s">
        <v>3</v>
      </c>
      <c r="G1032" s="4">
        <v>6.38104251E8</v>
      </c>
      <c r="H1032" s="1" t="s">
        <v>2702</v>
      </c>
      <c r="I1032" s="2"/>
      <c r="J1032" s="1" t="s">
        <v>1937</v>
      </c>
      <c r="K1032" s="1">
        <v>25.0</v>
      </c>
      <c r="L1032" s="1"/>
      <c r="M1032" s="5">
        <v>119.978</v>
      </c>
      <c r="N1032" s="22">
        <f t="shared" si="1"/>
        <v>2999.45</v>
      </c>
    </row>
    <row r="1033" ht="15.75" customHeight="1">
      <c r="A1033" s="1" t="s">
        <v>2698</v>
      </c>
      <c r="B1033" s="2">
        <v>838.0</v>
      </c>
      <c r="C1033" s="1" t="s">
        <v>1264</v>
      </c>
      <c r="D1033" s="1">
        <v>2318.0</v>
      </c>
      <c r="E1033" s="3">
        <v>45426.0</v>
      </c>
      <c r="F1033" s="1" t="s">
        <v>3</v>
      </c>
      <c r="G1033" s="4">
        <v>6.38105241E8</v>
      </c>
      <c r="H1033" s="1" t="s">
        <v>2705</v>
      </c>
      <c r="I1033" s="2"/>
      <c r="J1033" s="1" t="s">
        <v>1937</v>
      </c>
      <c r="K1033" s="1">
        <v>50.0</v>
      </c>
      <c r="L1033" s="1"/>
      <c r="M1033" s="5">
        <v>133.83</v>
      </c>
      <c r="N1033" s="22">
        <f t="shared" si="1"/>
        <v>6691.5</v>
      </c>
    </row>
    <row r="1034" ht="15.75" customHeight="1">
      <c r="A1034" s="1" t="s">
        <v>2706</v>
      </c>
      <c r="B1034" s="2">
        <v>1081.0</v>
      </c>
      <c r="C1034" s="1" t="s">
        <v>855</v>
      </c>
      <c r="D1034" s="1" t="s">
        <v>2707</v>
      </c>
      <c r="E1034" s="3">
        <v>45860.0</v>
      </c>
      <c r="F1034" s="1" t="s">
        <v>3</v>
      </c>
      <c r="G1034" s="4">
        <v>6.38107251E8</v>
      </c>
      <c r="H1034" s="1" t="s">
        <v>2708</v>
      </c>
      <c r="I1034" s="2"/>
      <c r="J1034" s="1" t="s">
        <v>1937</v>
      </c>
      <c r="K1034" s="1">
        <v>5.0</v>
      </c>
      <c r="L1034" s="1"/>
      <c r="M1034" s="5">
        <v>113.4</v>
      </c>
      <c r="N1034" s="22">
        <f t="shared" si="1"/>
        <v>567</v>
      </c>
    </row>
    <row r="1035" ht="15.75" customHeight="1">
      <c r="A1035" s="1" t="s">
        <v>2709</v>
      </c>
      <c r="B1035" s="2">
        <v>1082.0</v>
      </c>
      <c r="C1035" s="1" t="s">
        <v>449</v>
      </c>
      <c r="D1035" s="1" t="s">
        <v>2710</v>
      </c>
      <c r="E1035" s="3">
        <v>45860.0</v>
      </c>
      <c r="F1035" s="1" t="s">
        <v>3</v>
      </c>
      <c r="G1035" s="4">
        <v>6.38108251E8</v>
      </c>
      <c r="H1035" s="1" t="s">
        <v>2711</v>
      </c>
      <c r="I1035" s="2"/>
      <c r="J1035" s="1" t="s">
        <v>1937</v>
      </c>
      <c r="K1035" s="1">
        <v>125.0</v>
      </c>
      <c r="L1035" s="1"/>
      <c r="M1035" s="5">
        <v>108.0</v>
      </c>
      <c r="N1035" s="22">
        <f t="shared" si="1"/>
        <v>13500</v>
      </c>
    </row>
    <row r="1036" ht="15.75" customHeight="1">
      <c r="A1036" s="1" t="s">
        <v>2712</v>
      </c>
      <c r="B1036" s="2">
        <v>868.0</v>
      </c>
      <c r="C1036" s="1" t="s">
        <v>2713</v>
      </c>
      <c r="D1036" s="1" t="s">
        <v>2714</v>
      </c>
      <c r="E1036" s="3">
        <v>45469.0</v>
      </c>
      <c r="F1036" s="1" t="s">
        <v>3</v>
      </c>
      <c r="G1036" s="4">
        <v>6.38111241E8</v>
      </c>
      <c r="H1036" s="1" t="s">
        <v>2715</v>
      </c>
      <c r="I1036" s="2"/>
      <c r="K1036" s="1">
        <v>10.0</v>
      </c>
      <c r="L1036" s="1"/>
      <c r="M1036" s="5">
        <v>166.24</v>
      </c>
      <c r="N1036" s="22">
        <f t="shared" si="1"/>
        <v>1662.4</v>
      </c>
    </row>
    <row r="1037" ht="15.75" customHeight="1">
      <c r="A1037" s="1" t="s">
        <v>2716</v>
      </c>
      <c r="B1037" s="2">
        <v>846.0</v>
      </c>
      <c r="C1037" s="1" t="s">
        <v>122</v>
      </c>
      <c r="D1037" s="1" t="s">
        <v>2717</v>
      </c>
      <c r="E1037" s="3">
        <v>45441.0</v>
      </c>
      <c r="F1037" s="1" t="s">
        <v>3</v>
      </c>
      <c r="G1037" s="4">
        <v>6.38112241E8</v>
      </c>
      <c r="H1037" s="1" t="s">
        <v>2718</v>
      </c>
      <c r="I1037" s="2"/>
      <c r="J1037" s="1" t="s">
        <v>416</v>
      </c>
      <c r="K1037" s="1">
        <v>10.0</v>
      </c>
      <c r="L1037" s="1"/>
      <c r="M1037" s="5">
        <v>158.63</v>
      </c>
      <c r="N1037" s="22">
        <f t="shared" si="1"/>
        <v>1586.3</v>
      </c>
      <c r="O1037" s="15" t="s">
        <v>2719</v>
      </c>
      <c r="P1037" s="15" t="s">
        <v>2720</v>
      </c>
    </row>
    <row r="1038" ht="15.75" customHeight="1">
      <c r="A1038" s="1" t="s">
        <v>2721</v>
      </c>
      <c r="B1038" s="2">
        <v>843.0</v>
      </c>
      <c r="C1038" s="1" t="s">
        <v>169</v>
      </c>
      <c r="D1038" s="1" t="s">
        <v>2722</v>
      </c>
      <c r="E1038" s="3">
        <v>45434.0</v>
      </c>
      <c r="F1038" s="1" t="s">
        <v>3</v>
      </c>
      <c r="G1038" s="4">
        <v>6.38113241E8</v>
      </c>
      <c r="H1038" s="1" t="s">
        <v>2723</v>
      </c>
      <c r="I1038" s="2"/>
      <c r="J1038" s="1" t="s">
        <v>1937</v>
      </c>
      <c r="K1038" s="1">
        <v>40.0</v>
      </c>
      <c r="L1038" s="1"/>
      <c r="M1038" s="5">
        <v>133.0</v>
      </c>
      <c r="N1038" s="22">
        <f t="shared" si="1"/>
        <v>5320</v>
      </c>
    </row>
    <row r="1039" ht="15.75" customHeight="1">
      <c r="A1039" s="1" t="s">
        <v>2724</v>
      </c>
      <c r="B1039" s="2">
        <v>845.0</v>
      </c>
      <c r="C1039" s="1" t="s">
        <v>461</v>
      </c>
      <c r="D1039" s="1" t="s">
        <v>2725</v>
      </c>
      <c r="E1039" s="3">
        <v>45441.0</v>
      </c>
      <c r="F1039" s="1" t="s">
        <v>3</v>
      </c>
      <c r="G1039" s="4">
        <v>6.38116241E8</v>
      </c>
      <c r="H1039" s="1" t="s">
        <v>2726</v>
      </c>
      <c r="I1039" s="2"/>
      <c r="J1039" s="1" t="s">
        <v>1937</v>
      </c>
      <c r="K1039" s="1">
        <v>10.0</v>
      </c>
      <c r="L1039" s="1"/>
      <c r="M1039" s="5">
        <v>135.47</v>
      </c>
      <c r="N1039" s="22">
        <f t="shared" si="1"/>
        <v>1354.7</v>
      </c>
    </row>
    <row r="1040" ht="15.75" customHeight="1">
      <c r="A1040" s="1" t="s">
        <v>2727</v>
      </c>
      <c r="B1040" s="2">
        <v>1087.0</v>
      </c>
      <c r="C1040" s="1" t="s">
        <v>485</v>
      </c>
      <c r="D1040" s="1" t="s">
        <v>2728</v>
      </c>
      <c r="E1040" s="3">
        <v>45861.0</v>
      </c>
      <c r="F1040" s="1" t="s">
        <v>3</v>
      </c>
      <c r="G1040" s="4">
        <v>6.38116251E8</v>
      </c>
      <c r="H1040" s="1" t="s">
        <v>2729</v>
      </c>
      <c r="I1040" s="2"/>
      <c r="J1040" s="1" t="s">
        <v>1937</v>
      </c>
      <c r="K1040" s="1">
        <v>1.0</v>
      </c>
      <c r="L1040" s="1"/>
      <c r="M1040" s="5">
        <v>236.13</v>
      </c>
      <c r="N1040" s="22">
        <f t="shared" si="1"/>
        <v>236.13</v>
      </c>
    </row>
    <row r="1041" ht="15.75" customHeight="1">
      <c r="A1041" s="1" t="s">
        <v>2730</v>
      </c>
      <c r="B1041" s="2">
        <v>1086.0</v>
      </c>
      <c r="C1041" s="1" t="s">
        <v>1037</v>
      </c>
      <c r="D1041" s="1" t="s">
        <v>2731</v>
      </c>
      <c r="E1041" s="3">
        <v>45861.0</v>
      </c>
      <c r="F1041" s="1" t="s">
        <v>3</v>
      </c>
      <c r="G1041" s="4">
        <v>6.38117251E8</v>
      </c>
      <c r="H1041" s="1" t="s">
        <v>2732</v>
      </c>
      <c r="I1041" s="2"/>
      <c r="J1041" s="1" t="s">
        <v>1937</v>
      </c>
      <c r="K1041" s="1">
        <v>1.0</v>
      </c>
      <c r="L1041" s="1"/>
      <c r="M1041" s="5">
        <v>142.24</v>
      </c>
      <c r="N1041" s="22">
        <f t="shared" si="1"/>
        <v>142.24</v>
      </c>
    </row>
    <row r="1042" ht="15.75" customHeight="1">
      <c r="A1042" s="1" t="s">
        <v>2733</v>
      </c>
      <c r="B1042" s="2">
        <v>1127.0</v>
      </c>
      <c r="C1042" s="1" t="s">
        <v>255</v>
      </c>
      <c r="D1042" s="1" t="s">
        <v>2734</v>
      </c>
      <c r="E1042" s="3">
        <v>45904.0</v>
      </c>
      <c r="F1042" s="1" t="s">
        <v>3</v>
      </c>
      <c r="G1042" s="4">
        <v>6.38119251E8</v>
      </c>
      <c r="H1042" s="1" t="s">
        <v>2735</v>
      </c>
      <c r="I1042" s="2"/>
      <c r="J1042" s="1" t="s">
        <v>1937</v>
      </c>
      <c r="K1042" s="1">
        <v>200.0</v>
      </c>
      <c r="L1042" s="1"/>
      <c r="M1042" s="5">
        <v>153.56</v>
      </c>
      <c r="N1042" s="22">
        <f t="shared" si="1"/>
        <v>30712</v>
      </c>
    </row>
    <row r="1043" ht="15.75" customHeight="1">
      <c r="A1043" s="1" t="s">
        <v>2736</v>
      </c>
      <c r="B1043" s="2">
        <v>1128.0</v>
      </c>
      <c r="C1043" s="1" t="s">
        <v>255</v>
      </c>
      <c r="D1043" s="1" t="s">
        <v>2737</v>
      </c>
      <c r="E1043" s="3">
        <v>45911.0</v>
      </c>
      <c r="F1043" s="1" t="s">
        <v>3</v>
      </c>
      <c r="G1043" s="4">
        <v>6.38119251E8</v>
      </c>
      <c r="H1043" s="1" t="s">
        <v>2735</v>
      </c>
      <c r="I1043" s="2"/>
      <c r="J1043" s="1" t="s">
        <v>1937</v>
      </c>
      <c r="K1043" s="1">
        <v>200.0</v>
      </c>
      <c r="L1043" s="1"/>
      <c r="M1043" s="5">
        <v>153.56</v>
      </c>
      <c r="N1043" s="22">
        <f t="shared" si="1"/>
        <v>30712</v>
      </c>
    </row>
    <row r="1044" ht="15.75" customHeight="1">
      <c r="A1044" s="1" t="s">
        <v>2738</v>
      </c>
      <c r="B1044" s="2">
        <v>850.0</v>
      </c>
      <c r="C1044" s="1" t="s">
        <v>858</v>
      </c>
      <c r="D1044" s="1" t="s">
        <v>2739</v>
      </c>
      <c r="E1044" s="3">
        <v>45448.0</v>
      </c>
      <c r="F1044" s="1" t="s">
        <v>3</v>
      </c>
      <c r="G1044" s="4">
        <v>6.38120241E8</v>
      </c>
      <c r="H1044" s="1" t="s">
        <v>2740</v>
      </c>
      <c r="I1044" s="2"/>
      <c r="J1044" s="1" t="s">
        <v>623</v>
      </c>
      <c r="K1044" s="1">
        <v>10.0</v>
      </c>
      <c r="L1044" s="1"/>
      <c r="M1044" s="5">
        <v>133.0</v>
      </c>
      <c r="N1044" s="22">
        <f t="shared" si="1"/>
        <v>1330</v>
      </c>
    </row>
    <row r="1045" ht="15.75" customHeight="1">
      <c r="A1045" s="1" t="s">
        <v>2741</v>
      </c>
      <c r="B1045" s="2">
        <v>1092.0</v>
      </c>
      <c r="C1045" s="1" t="s">
        <v>2481</v>
      </c>
      <c r="D1045" s="1" t="s">
        <v>2742</v>
      </c>
      <c r="E1045" s="3">
        <v>45862.0</v>
      </c>
      <c r="F1045" s="1" t="s">
        <v>3</v>
      </c>
      <c r="G1045" s="4">
        <v>6.38120251E8</v>
      </c>
      <c r="H1045" s="1" t="s">
        <v>2743</v>
      </c>
      <c r="I1045" s="2"/>
      <c r="J1045" s="1" t="s">
        <v>1937</v>
      </c>
      <c r="K1045" s="1">
        <v>20.0</v>
      </c>
      <c r="L1045" s="1"/>
      <c r="M1045" s="5">
        <v>149.07</v>
      </c>
      <c r="N1045" s="22">
        <f t="shared" si="1"/>
        <v>2981.4</v>
      </c>
    </row>
    <row r="1046" ht="15.75" customHeight="1">
      <c r="A1046" s="1" t="s">
        <v>2744</v>
      </c>
      <c r="B1046" s="2">
        <v>848.0</v>
      </c>
      <c r="C1046" s="1" t="s">
        <v>488</v>
      </c>
      <c r="D1046" s="1" t="s">
        <v>2745</v>
      </c>
      <c r="E1046" s="3">
        <v>45442.0</v>
      </c>
      <c r="F1046" s="1" t="s">
        <v>3</v>
      </c>
      <c r="G1046" s="4">
        <v>6.38121241E8</v>
      </c>
      <c r="H1046" s="1" t="s">
        <v>2746</v>
      </c>
      <c r="I1046" s="2"/>
      <c r="J1046" s="1" t="s">
        <v>1937</v>
      </c>
      <c r="K1046" s="1">
        <v>2.0</v>
      </c>
      <c r="L1046" s="1"/>
      <c r="M1046" s="5">
        <v>110.53</v>
      </c>
      <c r="N1046" s="22">
        <f t="shared" si="1"/>
        <v>221.06</v>
      </c>
    </row>
    <row r="1047" ht="15.75" customHeight="1">
      <c r="A1047" s="1" t="s">
        <v>2747</v>
      </c>
      <c r="B1047" s="2">
        <v>1091.0</v>
      </c>
      <c r="C1047" s="1" t="s">
        <v>449</v>
      </c>
      <c r="D1047" s="1" t="s">
        <v>2748</v>
      </c>
      <c r="E1047" s="3">
        <v>45862.0</v>
      </c>
      <c r="F1047" s="1" t="s">
        <v>3</v>
      </c>
      <c r="G1047" s="4">
        <v>6.38121251E8</v>
      </c>
      <c r="H1047" s="1" t="s">
        <v>2749</v>
      </c>
      <c r="I1047" s="2"/>
      <c r="J1047" s="1" t="s">
        <v>1937</v>
      </c>
      <c r="K1047" s="1">
        <v>125.0</v>
      </c>
      <c r="L1047" s="1"/>
      <c r="M1047" s="5">
        <v>108.0</v>
      </c>
      <c r="N1047" s="22">
        <f t="shared" si="1"/>
        <v>13500</v>
      </c>
    </row>
    <row r="1048" ht="15.75" customHeight="1">
      <c r="A1048" s="1" t="s">
        <v>2750</v>
      </c>
      <c r="B1048" s="2">
        <v>1093.0</v>
      </c>
      <c r="C1048" s="1" t="s">
        <v>449</v>
      </c>
      <c r="D1048" s="1" t="s">
        <v>2751</v>
      </c>
      <c r="E1048" s="3">
        <v>45862.0</v>
      </c>
      <c r="F1048" s="1" t="s">
        <v>3</v>
      </c>
      <c r="G1048" s="4">
        <v>6.38121251E8</v>
      </c>
      <c r="H1048" s="1" t="s">
        <v>2749</v>
      </c>
      <c r="I1048" s="2"/>
      <c r="J1048" s="1" t="s">
        <v>1937</v>
      </c>
      <c r="K1048" s="1">
        <v>125.0</v>
      </c>
      <c r="L1048" s="1"/>
      <c r="M1048" s="5">
        <v>108.0</v>
      </c>
      <c r="N1048" s="22">
        <f t="shared" si="1"/>
        <v>13500</v>
      </c>
    </row>
    <row r="1049" ht="15.75" customHeight="1">
      <c r="A1049" s="1" t="s">
        <v>2752</v>
      </c>
      <c r="B1049" s="2">
        <v>854.0</v>
      </c>
      <c r="C1049" s="1" t="s">
        <v>664</v>
      </c>
      <c r="D1049" s="1" t="s">
        <v>2753</v>
      </c>
      <c r="E1049" s="3">
        <v>45448.0</v>
      </c>
      <c r="F1049" s="1" t="s">
        <v>3</v>
      </c>
      <c r="G1049" s="4">
        <v>6.38123241E8</v>
      </c>
      <c r="H1049" s="1" t="s">
        <v>2754</v>
      </c>
      <c r="I1049" s="2"/>
      <c r="J1049" s="1" t="s">
        <v>1937</v>
      </c>
      <c r="K1049" s="1">
        <v>5.0</v>
      </c>
      <c r="L1049" s="1"/>
      <c r="M1049" s="5">
        <v>168.25</v>
      </c>
      <c r="N1049" s="22">
        <f t="shared" si="1"/>
        <v>841.25</v>
      </c>
    </row>
    <row r="1050" ht="15.75" customHeight="1">
      <c r="A1050" s="1" t="s">
        <v>2755</v>
      </c>
      <c r="B1050" s="2">
        <v>853.0</v>
      </c>
      <c r="C1050" s="1" t="s">
        <v>461</v>
      </c>
      <c r="D1050" s="1" t="s">
        <v>2756</v>
      </c>
      <c r="E1050" s="3">
        <v>45448.0</v>
      </c>
      <c r="F1050" s="1" t="s">
        <v>3</v>
      </c>
      <c r="G1050" s="4">
        <v>6.38124241E8</v>
      </c>
      <c r="H1050" s="1" t="s">
        <v>2757</v>
      </c>
      <c r="I1050" s="2"/>
      <c r="J1050" s="1" t="s">
        <v>1937</v>
      </c>
      <c r="K1050" s="1">
        <v>25.0</v>
      </c>
      <c r="L1050" s="1"/>
      <c r="M1050" s="5">
        <v>133.0</v>
      </c>
      <c r="N1050" s="22">
        <f t="shared" si="1"/>
        <v>3325</v>
      </c>
    </row>
    <row r="1051" ht="15.75" customHeight="1">
      <c r="A1051" s="1" t="s">
        <v>2758</v>
      </c>
      <c r="B1051" s="2">
        <v>855.0</v>
      </c>
      <c r="C1051" s="1" t="s">
        <v>809</v>
      </c>
      <c r="D1051" s="1" t="s">
        <v>2759</v>
      </c>
      <c r="E1051" s="3">
        <v>45453.0</v>
      </c>
      <c r="F1051" s="1" t="s">
        <v>3</v>
      </c>
      <c r="G1051" s="4">
        <v>6.38125241E8</v>
      </c>
      <c r="H1051" s="1" t="s">
        <v>2760</v>
      </c>
      <c r="I1051" s="2"/>
      <c r="J1051" s="1" t="s">
        <v>1937</v>
      </c>
      <c r="K1051" s="1">
        <v>5.0</v>
      </c>
      <c r="L1051" s="1"/>
      <c r="M1051" s="5">
        <v>182.08</v>
      </c>
      <c r="N1051" s="22">
        <f t="shared" si="1"/>
        <v>910.4</v>
      </c>
    </row>
    <row r="1052" ht="15.75" customHeight="1">
      <c r="A1052" s="1" t="s">
        <v>2761</v>
      </c>
      <c r="B1052" s="2">
        <v>1098.0</v>
      </c>
      <c r="C1052" s="1" t="s">
        <v>1058</v>
      </c>
      <c r="D1052" s="1" t="s">
        <v>2762</v>
      </c>
      <c r="E1052" s="3">
        <v>45862.0</v>
      </c>
      <c r="F1052" s="1" t="s">
        <v>3</v>
      </c>
      <c r="G1052" s="4">
        <v>6.38127251E8</v>
      </c>
      <c r="H1052" s="1" t="s">
        <v>2763</v>
      </c>
      <c r="I1052" s="2"/>
      <c r="J1052" s="1" t="s">
        <v>1937</v>
      </c>
      <c r="K1052" s="1">
        <v>75.0</v>
      </c>
      <c r="L1052" s="1"/>
      <c r="M1052" s="5">
        <v>153.86</v>
      </c>
      <c r="N1052" s="22">
        <f t="shared" si="1"/>
        <v>11539.5</v>
      </c>
    </row>
    <row r="1053" ht="15.75" customHeight="1">
      <c r="A1053" s="1" t="s">
        <v>2764</v>
      </c>
      <c r="B1053" s="2">
        <v>1097.0</v>
      </c>
      <c r="C1053" s="1" t="s">
        <v>362</v>
      </c>
      <c r="D1053" s="1" t="s">
        <v>2765</v>
      </c>
      <c r="E1053" s="3">
        <v>45862.0</v>
      </c>
      <c r="F1053" s="1" t="s">
        <v>3</v>
      </c>
      <c r="G1053" s="4">
        <v>6.38128251E8</v>
      </c>
      <c r="H1053" s="1" t="s">
        <v>2766</v>
      </c>
      <c r="I1053" s="2"/>
      <c r="J1053" s="1" t="s">
        <v>1937</v>
      </c>
      <c r="K1053" s="1">
        <v>25.0</v>
      </c>
      <c r="L1053" s="1"/>
      <c r="M1053" s="5">
        <v>123.86</v>
      </c>
      <c r="N1053" s="22">
        <f t="shared" si="1"/>
        <v>3096.5</v>
      </c>
    </row>
    <row r="1054" ht="15.75" customHeight="1">
      <c r="A1054" s="1" t="s">
        <v>2767</v>
      </c>
      <c r="B1054" s="2">
        <v>870.0</v>
      </c>
      <c r="C1054" s="1" t="s">
        <v>2326</v>
      </c>
      <c r="D1054" s="1" t="s">
        <v>2768</v>
      </c>
      <c r="E1054" s="3">
        <v>45474.0</v>
      </c>
      <c r="F1054" s="1" t="s">
        <v>3</v>
      </c>
      <c r="G1054" s="4">
        <v>6.38129241E8</v>
      </c>
      <c r="H1054" s="1" t="s">
        <v>2769</v>
      </c>
      <c r="I1054" s="2"/>
      <c r="J1054" s="1" t="s">
        <v>623</v>
      </c>
      <c r="K1054" s="1">
        <v>20.0</v>
      </c>
      <c r="L1054" s="1"/>
      <c r="M1054" s="5">
        <v>138.62</v>
      </c>
      <c r="N1054" s="22">
        <f t="shared" si="1"/>
        <v>2772.4</v>
      </c>
    </row>
    <row r="1055" ht="15.75" customHeight="1">
      <c r="A1055" s="1" t="s">
        <v>2770</v>
      </c>
      <c r="B1055" s="2">
        <v>1099.0</v>
      </c>
      <c r="C1055" s="1" t="s">
        <v>2481</v>
      </c>
      <c r="D1055" s="1" t="s">
        <v>2771</v>
      </c>
      <c r="E1055" s="3">
        <v>45862.0</v>
      </c>
      <c r="F1055" s="1" t="s">
        <v>3</v>
      </c>
      <c r="G1055" s="4">
        <v>6.38129251E8</v>
      </c>
      <c r="H1055" s="1" t="s">
        <v>2772</v>
      </c>
      <c r="I1055" s="2"/>
      <c r="K1055" s="1">
        <v>20.0</v>
      </c>
      <c r="L1055" s="1"/>
      <c r="M1055" s="5">
        <v>149.07</v>
      </c>
      <c r="N1055" s="22">
        <f t="shared" si="1"/>
        <v>2981.4</v>
      </c>
    </row>
    <row r="1056" ht="15.75" customHeight="1">
      <c r="A1056" s="1" t="s">
        <v>2773</v>
      </c>
      <c r="B1056" s="2">
        <v>1100.0</v>
      </c>
      <c r="C1056" s="1" t="s">
        <v>2481</v>
      </c>
      <c r="D1056" s="1" t="s">
        <v>2774</v>
      </c>
      <c r="E1056" s="3">
        <v>45862.0</v>
      </c>
      <c r="F1056" s="1" t="s">
        <v>3</v>
      </c>
      <c r="G1056" s="4">
        <v>6.38129251E8</v>
      </c>
      <c r="H1056" s="1" t="s">
        <v>2772</v>
      </c>
      <c r="I1056" s="2"/>
      <c r="J1056" s="1" t="s">
        <v>1937</v>
      </c>
      <c r="K1056" s="1">
        <v>20.0</v>
      </c>
      <c r="L1056" s="1"/>
      <c r="M1056" s="5">
        <v>149.07</v>
      </c>
      <c r="N1056" s="22">
        <f t="shared" si="1"/>
        <v>2981.4</v>
      </c>
    </row>
    <row r="1057" ht="15.75" customHeight="1">
      <c r="A1057" s="1" t="s">
        <v>2775</v>
      </c>
      <c r="B1057" s="2">
        <v>860.0</v>
      </c>
      <c r="C1057" s="1" t="s">
        <v>1264</v>
      </c>
      <c r="D1057" s="1" t="s">
        <v>2776</v>
      </c>
      <c r="E1057" s="3">
        <v>45461.0</v>
      </c>
      <c r="F1057" s="1" t="s">
        <v>3</v>
      </c>
      <c r="G1057" s="4">
        <v>6.38130241E8</v>
      </c>
      <c r="H1057" s="1" t="s">
        <v>2777</v>
      </c>
      <c r="I1057" s="2"/>
      <c r="J1057" s="1" t="s">
        <v>416</v>
      </c>
      <c r="K1057" s="1">
        <v>40.0</v>
      </c>
      <c r="L1057" s="1"/>
      <c r="M1057" s="5">
        <v>113.73</v>
      </c>
      <c r="N1057" s="22">
        <f t="shared" si="1"/>
        <v>4549.2</v>
      </c>
    </row>
    <row r="1058" ht="15.75" customHeight="1">
      <c r="A1058" s="1" t="s">
        <v>2778</v>
      </c>
      <c r="B1058" s="2">
        <v>858.0</v>
      </c>
      <c r="C1058" s="1" t="s">
        <v>449</v>
      </c>
      <c r="D1058" s="1" t="s">
        <v>2779</v>
      </c>
      <c r="E1058" s="3">
        <v>45460.0</v>
      </c>
      <c r="F1058" s="1" t="s">
        <v>3</v>
      </c>
      <c r="G1058" s="4">
        <v>6.38131241E8</v>
      </c>
      <c r="H1058" s="1" t="s">
        <v>2780</v>
      </c>
      <c r="I1058" s="2"/>
      <c r="J1058" s="1" t="s">
        <v>1937</v>
      </c>
      <c r="K1058" s="1">
        <v>50.0</v>
      </c>
      <c r="L1058" s="1"/>
      <c r="M1058" s="5">
        <v>137.77</v>
      </c>
      <c r="N1058" s="22">
        <f t="shared" si="1"/>
        <v>6888.5</v>
      </c>
    </row>
    <row r="1059" ht="15.75" customHeight="1">
      <c r="A1059" s="1" t="s">
        <v>2781</v>
      </c>
      <c r="B1059" s="2">
        <v>872.0</v>
      </c>
      <c r="C1059" s="1" t="s">
        <v>449</v>
      </c>
      <c r="D1059" s="1" t="s">
        <v>2782</v>
      </c>
      <c r="E1059" s="3">
        <v>45475.0</v>
      </c>
      <c r="F1059" s="1" t="s">
        <v>3</v>
      </c>
      <c r="G1059" s="4">
        <v>6.38131241E8</v>
      </c>
      <c r="H1059" s="1" t="s">
        <v>2780</v>
      </c>
      <c r="I1059" s="2"/>
      <c r="J1059" s="1" t="s">
        <v>1937</v>
      </c>
      <c r="K1059" s="1">
        <v>50.0</v>
      </c>
      <c r="L1059" s="1"/>
      <c r="M1059" s="5">
        <v>137.774</v>
      </c>
      <c r="N1059" s="22">
        <f t="shared" si="1"/>
        <v>6888.7</v>
      </c>
    </row>
    <row r="1060" ht="15.75" customHeight="1">
      <c r="A1060" s="1" t="s">
        <v>2783</v>
      </c>
      <c r="B1060" s="2">
        <v>1102.0</v>
      </c>
      <c r="C1060" s="1" t="s">
        <v>518</v>
      </c>
      <c r="D1060" s="1" t="s">
        <v>2784</v>
      </c>
      <c r="E1060" s="3">
        <v>45862.0</v>
      </c>
      <c r="F1060" s="1" t="s">
        <v>3</v>
      </c>
      <c r="G1060" s="4">
        <v>6.38131251E8</v>
      </c>
      <c r="H1060" s="1" t="s">
        <v>2785</v>
      </c>
      <c r="I1060" s="2"/>
      <c r="J1060" s="1" t="s">
        <v>1937</v>
      </c>
      <c r="K1060" s="1">
        <v>10.0</v>
      </c>
      <c r="L1060" s="1"/>
      <c r="M1060" s="5">
        <v>143.9</v>
      </c>
      <c r="N1060" s="22">
        <f t="shared" si="1"/>
        <v>1439</v>
      </c>
    </row>
    <row r="1061" ht="15.75" customHeight="1">
      <c r="A1061" s="1" t="s">
        <v>2786</v>
      </c>
      <c r="B1061" s="2">
        <v>859.0</v>
      </c>
      <c r="C1061" s="1" t="s">
        <v>190</v>
      </c>
      <c r="D1061" s="1" t="s">
        <v>2787</v>
      </c>
      <c r="E1061" s="3">
        <v>45460.0</v>
      </c>
      <c r="F1061" s="1" t="s">
        <v>3</v>
      </c>
      <c r="G1061" s="4">
        <v>6.38132241E8</v>
      </c>
      <c r="H1061" s="1" t="s">
        <v>2788</v>
      </c>
      <c r="I1061" s="2"/>
      <c r="J1061" s="1" t="s">
        <v>1937</v>
      </c>
      <c r="K1061" s="1">
        <v>5.0</v>
      </c>
      <c r="L1061" s="1"/>
      <c r="M1061" s="5">
        <v>142.87</v>
      </c>
      <c r="N1061" s="22">
        <f t="shared" si="1"/>
        <v>714.35</v>
      </c>
      <c r="O1061" s="15" t="s">
        <v>2789</v>
      </c>
      <c r="P1061" s="15" t="s">
        <v>2790</v>
      </c>
    </row>
    <row r="1062" ht="15.75" customHeight="1">
      <c r="A1062" s="1" t="s">
        <v>2791</v>
      </c>
      <c r="B1062" s="2">
        <v>1108.0</v>
      </c>
      <c r="C1062" s="1" t="s">
        <v>449</v>
      </c>
      <c r="D1062" s="1" t="s">
        <v>2792</v>
      </c>
      <c r="E1062" s="3">
        <v>45863.0</v>
      </c>
      <c r="F1062" s="1" t="s">
        <v>3</v>
      </c>
      <c r="G1062" s="4">
        <v>6.38132251E8</v>
      </c>
      <c r="H1062" s="1" t="s">
        <v>2793</v>
      </c>
      <c r="I1062" s="2"/>
      <c r="J1062" s="1" t="s">
        <v>1937</v>
      </c>
      <c r="K1062" s="1">
        <v>200.0</v>
      </c>
      <c r="L1062" s="1"/>
      <c r="M1062" s="5">
        <v>108.0</v>
      </c>
      <c r="N1062" s="22">
        <f t="shared" si="1"/>
        <v>21600</v>
      </c>
    </row>
    <row r="1063" ht="15.75" customHeight="1">
      <c r="A1063" s="1" t="s">
        <v>2794</v>
      </c>
      <c r="B1063" s="2">
        <v>1132.0</v>
      </c>
      <c r="C1063" s="1" t="s">
        <v>449</v>
      </c>
      <c r="D1063" s="1" t="s">
        <v>2795</v>
      </c>
      <c r="E1063" s="3">
        <v>45911.0</v>
      </c>
      <c r="F1063" s="1" t="s">
        <v>3</v>
      </c>
      <c r="G1063" s="4">
        <v>6.38132251E8</v>
      </c>
      <c r="H1063" s="1" t="s">
        <v>2793</v>
      </c>
      <c r="I1063" s="2"/>
      <c r="J1063" s="1" t="s">
        <v>1937</v>
      </c>
      <c r="K1063" s="1">
        <v>150.0</v>
      </c>
      <c r="L1063" s="1"/>
      <c r="M1063" s="5">
        <v>108.0</v>
      </c>
      <c r="N1063" s="22">
        <f t="shared" si="1"/>
        <v>16200</v>
      </c>
    </row>
    <row r="1064" ht="15.75" customHeight="1">
      <c r="A1064" s="1" t="s">
        <v>2796</v>
      </c>
      <c r="B1064" s="2">
        <v>1123.0</v>
      </c>
      <c r="C1064" s="1" t="s">
        <v>809</v>
      </c>
      <c r="D1064" s="1" t="s">
        <v>2797</v>
      </c>
      <c r="E1064" s="3">
        <v>45904.0</v>
      </c>
      <c r="F1064" s="1" t="s">
        <v>3</v>
      </c>
      <c r="G1064" s="4">
        <v>6.38134251E8</v>
      </c>
      <c r="H1064" s="1" t="s">
        <v>2798</v>
      </c>
      <c r="I1064" s="2"/>
      <c r="J1064" s="1" t="s">
        <v>1937</v>
      </c>
      <c r="K1064" s="1">
        <v>15.0</v>
      </c>
      <c r="L1064" s="1"/>
      <c r="M1064" s="5">
        <v>163.0</v>
      </c>
      <c r="N1064" s="22">
        <f t="shared" si="1"/>
        <v>2445</v>
      </c>
    </row>
    <row r="1065" ht="15.75" customHeight="1">
      <c r="A1065" s="1" t="s">
        <v>2799</v>
      </c>
      <c r="B1065" s="2">
        <v>865.0</v>
      </c>
      <c r="C1065" s="1" t="s">
        <v>488</v>
      </c>
      <c r="D1065" s="1" t="s">
        <v>2800</v>
      </c>
      <c r="E1065" s="3">
        <v>45462.0</v>
      </c>
      <c r="F1065" s="1" t="s">
        <v>3</v>
      </c>
      <c r="G1065" s="4">
        <v>6.38135241E8</v>
      </c>
      <c r="H1065" s="1" t="s">
        <v>2801</v>
      </c>
      <c r="I1065" s="2"/>
      <c r="J1065" s="1" t="s">
        <v>1937</v>
      </c>
      <c r="K1065" s="1">
        <v>5.0</v>
      </c>
      <c r="L1065" s="1"/>
      <c r="M1065" s="5">
        <v>110.53</v>
      </c>
      <c r="N1065" s="22">
        <f t="shared" si="1"/>
        <v>552.65</v>
      </c>
    </row>
    <row r="1066" ht="15.75" customHeight="1">
      <c r="A1066" s="1" t="s">
        <v>2802</v>
      </c>
      <c r="B1066" s="2">
        <v>1105.0</v>
      </c>
      <c r="C1066" s="1" t="s">
        <v>488</v>
      </c>
      <c r="D1066" s="1" t="s">
        <v>2803</v>
      </c>
      <c r="E1066" s="3">
        <v>45863.0</v>
      </c>
      <c r="F1066" s="1" t="s">
        <v>3</v>
      </c>
      <c r="G1066" s="4">
        <v>6.38135251E8</v>
      </c>
      <c r="H1066" s="1" t="s">
        <v>2804</v>
      </c>
      <c r="I1066" s="2"/>
      <c r="J1066" s="1" t="s">
        <v>1937</v>
      </c>
      <c r="K1066" s="1">
        <v>5.0</v>
      </c>
      <c r="L1066" s="1"/>
      <c r="M1066" s="5">
        <v>110.53</v>
      </c>
      <c r="N1066" s="22">
        <f t="shared" si="1"/>
        <v>552.65</v>
      </c>
    </row>
    <row r="1067" ht="15.75" customHeight="1">
      <c r="A1067" s="1" t="s">
        <v>2805</v>
      </c>
      <c r="B1067" s="2">
        <v>1106.0</v>
      </c>
      <c r="C1067" s="1" t="s">
        <v>488</v>
      </c>
      <c r="D1067" s="1" t="s">
        <v>2806</v>
      </c>
      <c r="E1067" s="3">
        <v>45863.0</v>
      </c>
      <c r="F1067" s="1" t="s">
        <v>3</v>
      </c>
      <c r="G1067" s="4">
        <v>6.38135251E8</v>
      </c>
      <c r="H1067" s="1" t="s">
        <v>2804</v>
      </c>
      <c r="I1067" s="2"/>
      <c r="J1067" s="1" t="s">
        <v>1937</v>
      </c>
      <c r="K1067" s="1">
        <v>5.0</v>
      </c>
      <c r="L1067" s="1"/>
      <c r="M1067" s="5">
        <v>110.53</v>
      </c>
      <c r="N1067" s="22">
        <f t="shared" si="1"/>
        <v>552.65</v>
      </c>
    </row>
    <row r="1068" ht="15.75" customHeight="1">
      <c r="A1068" s="1" t="s">
        <v>2807</v>
      </c>
      <c r="B1068" s="2">
        <v>887.0</v>
      </c>
      <c r="C1068" s="1" t="s">
        <v>362</v>
      </c>
      <c r="D1068" s="1" t="s">
        <v>2808</v>
      </c>
      <c r="E1068" s="3">
        <v>45499.0</v>
      </c>
      <c r="F1068" s="1" t="s">
        <v>3</v>
      </c>
      <c r="G1068" s="4">
        <v>6.38136241E8</v>
      </c>
      <c r="H1068" s="1" t="s">
        <v>2809</v>
      </c>
      <c r="I1068" s="2"/>
      <c r="J1068" s="1" t="s">
        <v>1937</v>
      </c>
      <c r="K1068" s="1">
        <v>10.0</v>
      </c>
      <c r="L1068" s="1"/>
      <c r="M1068" s="5">
        <v>125.66</v>
      </c>
      <c r="N1068" s="22">
        <f t="shared" si="1"/>
        <v>1256.6</v>
      </c>
      <c r="O1068" s="15" t="s">
        <v>2810</v>
      </c>
      <c r="P1068" s="15" t="s">
        <v>2811</v>
      </c>
    </row>
    <row r="1069" ht="15.75" customHeight="1">
      <c r="A1069" s="1" t="s">
        <v>2812</v>
      </c>
      <c r="B1069" s="2">
        <v>1110.0</v>
      </c>
      <c r="C1069" s="1" t="s">
        <v>412</v>
      </c>
      <c r="D1069" s="1" t="s">
        <v>2813</v>
      </c>
      <c r="E1069" s="3">
        <v>45870.0</v>
      </c>
      <c r="F1069" s="1" t="s">
        <v>3</v>
      </c>
      <c r="G1069" s="4">
        <v>6.38136251E8</v>
      </c>
      <c r="H1069" s="1" t="s">
        <v>2814</v>
      </c>
      <c r="I1069" s="2"/>
      <c r="J1069" s="1" t="s">
        <v>416</v>
      </c>
      <c r="K1069" s="1">
        <v>10.0</v>
      </c>
      <c r="L1069" s="1"/>
      <c r="M1069" s="5">
        <v>165.31</v>
      </c>
      <c r="N1069" s="22">
        <f t="shared" si="1"/>
        <v>1653.1</v>
      </c>
    </row>
    <row r="1070" ht="15.75" customHeight="1">
      <c r="A1070" s="1" t="s">
        <v>2815</v>
      </c>
      <c r="B1070" s="2">
        <v>877.0</v>
      </c>
      <c r="C1070" s="1" t="s">
        <v>169</v>
      </c>
      <c r="D1070" s="1" t="s">
        <v>2816</v>
      </c>
      <c r="E1070" s="3">
        <v>45492.0</v>
      </c>
      <c r="F1070" s="1" t="s">
        <v>3</v>
      </c>
      <c r="G1070" s="4">
        <v>6.38137241E8</v>
      </c>
      <c r="H1070" s="1" t="s">
        <v>2817</v>
      </c>
      <c r="I1070" s="2"/>
      <c r="J1070" s="1" t="s">
        <v>1937</v>
      </c>
      <c r="K1070" s="1">
        <v>5.0</v>
      </c>
      <c r="L1070" s="1"/>
      <c r="M1070" s="5">
        <v>125.0</v>
      </c>
      <c r="N1070" s="22">
        <f t="shared" si="1"/>
        <v>625</v>
      </c>
    </row>
    <row r="1071" ht="15.75" customHeight="1">
      <c r="A1071" s="1" t="s">
        <v>2818</v>
      </c>
      <c r="B1071" s="2">
        <v>891.0</v>
      </c>
      <c r="C1071" s="1" t="s">
        <v>169</v>
      </c>
      <c r="D1071" s="1" t="s">
        <v>2819</v>
      </c>
      <c r="E1071" s="3">
        <v>45506.0</v>
      </c>
      <c r="F1071" s="1" t="s">
        <v>3</v>
      </c>
      <c r="G1071" s="4">
        <v>6.38137241E8</v>
      </c>
      <c r="H1071" s="1" t="s">
        <v>2817</v>
      </c>
      <c r="I1071" s="2"/>
      <c r="J1071" s="1" t="s">
        <v>1937</v>
      </c>
      <c r="K1071" s="1">
        <v>5.0</v>
      </c>
      <c r="L1071" s="1"/>
      <c r="M1071" s="5">
        <v>139.35</v>
      </c>
      <c r="N1071" s="22">
        <f t="shared" si="1"/>
        <v>696.75</v>
      </c>
    </row>
    <row r="1072" ht="15.75" customHeight="1">
      <c r="A1072" s="1" t="s">
        <v>2820</v>
      </c>
      <c r="B1072" s="2">
        <v>917.0</v>
      </c>
      <c r="C1072" s="1" t="s">
        <v>169</v>
      </c>
      <c r="D1072" s="1" t="s">
        <v>2821</v>
      </c>
      <c r="E1072" s="3">
        <v>45541.0</v>
      </c>
      <c r="F1072" s="1" t="s">
        <v>3</v>
      </c>
      <c r="G1072" s="4">
        <v>6.38137241E8</v>
      </c>
      <c r="H1072" s="1" t="s">
        <v>2817</v>
      </c>
      <c r="I1072" s="2"/>
      <c r="J1072" s="1" t="s">
        <v>1937</v>
      </c>
      <c r="K1072" s="1">
        <v>5.0</v>
      </c>
      <c r="L1072" s="1"/>
      <c r="M1072" s="5">
        <v>139.66</v>
      </c>
      <c r="N1072" s="22">
        <f t="shared" si="1"/>
        <v>698.3</v>
      </c>
    </row>
    <row r="1073" ht="15.75" customHeight="1">
      <c r="A1073" s="1" t="s">
        <v>2822</v>
      </c>
      <c r="B1073" s="2">
        <v>1124.0</v>
      </c>
      <c r="C1073" s="1" t="s">
        <v>219</v>
      </c>
      <c r="D1073" s="1" t="s">
        <v>2823</v>
      </c>
      <c r="E1073" s="3">
        <v>45904.0</v>
      </c>
      <c r="F1073" s="1" t="s">
        <v>3</v>
      </c>
      <c r="G1073" s="4">
        <v>6.38137251E8</v>
      </c>
      <c r="H1073" s="1" t="s">
        <v>2824</v>
      </c>
      <c r="I1073" s="2"/>
      <c r="J1073" s="1" t="s">
        <v>1937</v>
      </c>
      <c r="K1073" s="1">
        <v>100.0</v>
      </c>
      <c r="L1073" s="1"/>
      <c r="M1073" s="5">
        <v>119.46</v>
      </c>
      <c r="N1073" s="22">
        <f t="shared" si="1"/>
        <v>11946</v>
      </c>
      <c r="O1073" s="15" t="s">
        <v>2825</v>
      </c>
      <c r="P1073" s="15" t="s">
        <v>2826</v>
      </c>
    </row>
    <row r="1074" ht="15.75" customHeight="1">
      <c r="A1074" s="1" t="s">
        <v>2827</v>
      </c>
      <c r="B1074" s="2">
        <v>1134.0</v>
      </c>
      <c r="C1074" s="1" t="s">
        <v>219</v>
      </c>
      <c r="D1074" s="1" t="s">
        <v>2828</v>
      </c>
      <c r="E1074" s="3">
        <v>45911.0</v>
      </c>
      <c r="F1074" s="1" t="s">
        <v>3</v>
      </c>
      <c r="G1074" s="4">
        <v>6.38137251E8</v>
      </c>
      <c r="H1074" s="1" t="s">
        <v>2824</v>
      </c>
      <c r="I1074" s="2"/>
      <c r="J1074" s="1" t="s">
        <v>1937</v>
      </c>
      <c r="K1074" s="1">
        <v>25.0</v>
      </c>
      <c r="L1074" s="1"/>
      <c r="M1074" s="5">
        <v>119.46</v>
      </c>
      <c r="N1074" s="22">
        <f t="shared" si="1"/>
        <v>2986.5</v>
      </c>
      <c r="O1074" s="15" t="s">
        <v>2829</v>
      </c>
      <c r="P1074" s="15" t="s">
        <v>2830</v>
      </c>
    </row>
    <row r="1075" ht="15.75" customHeight="1">
      <c r="A1075" s="1" t="s">
        <v>2831</v>
      </c>
      <c r="B1075" s="2">
        <v>1138.0</v>
      </c>
      <c r="C1075" s="1" t="s">
        <v>461</v>
      </c>
      <c r="D1075" s="1" t="s">
        <v>2832</v>
      </c>
      <c r="E1075" s="3">
        <v>45911.0</v>
      </c>
      <c r="F1075" s="1" t="s">
        <v>3</v>
      </c>
      <c r="G1075" s="4">
        <v>6.38137251E8</v>
      </c>
      <c r="H1075" s="1" t="s">
        <v>2824</v>
      </c>
      <c r="I1075" s="2"/>
      <c r="J1075" s="1" t="s">
        <v>1937</v>
      </c>
      <c r="K1075" s="1">
        <v>100.0</v>
      </c>
      <c r="L1075" s="1"/>
      <c r="M1075" s="5">
        <v>133.0</v>
      </c>
      <c r="N1075" s="22">
        <f t="shared" si="1"/>
        <v>13300</v>
      </c>
    </row>
    <row r="1076" ht="15.75" customHeight="1">
      <c r="A1076" s="1" t="s">
        <v>1708</v>
      </c>
      <c r="B1076" s="2">
        <v>1143.0</v>
      </c>
      <c r="C1076" s="1" t="s">
        <v>1264</v>
      </c>
      <c r="D1076" s="1" t="s">
        <v>1709</v>
      </c>
      <c r="E1076" s="3">
        <v>45911.0</v>
      </c>
      <c r="F1076" s="1" t="s">
        <v>3</v>
      </c>
      <c r="G1076" s="4">
        <v>6.38137251E8</v>
      </c>
      <c r="H1076" s="1" t="s">
        <v>2824</v>
      </c>
      <c r="I1076" s="2"/>
      <c r="J1076" s="1" t="s">
        <v>1937</v>
      </c>
      <c r="K1076" s="1">
        <v>50.0</v>
      </c>
      <c r="L1076" s="1"/>
      <c r="M1076" s="5">
        <v>114.91</v>
      </c>
      <c r="N1076" s="22">
        <f t="shared" si="1"/>
        <v>5745.5</v>
      </c>
    </row>
    <row r="1077" ht="15.75" customHeight="1">
      <c r="A1077" s="1" t="s">
        <v>2833</v>
      </c>
      <c r="B1077" s="2">
        <v>1150.0</v>
      </c>
      <c r="C1077" s="1" t="s">
        <v>829</v>
      </c>
      <c r="D1077" s="1" t="s">
        <v>2834</v>
      </c>
      <c r="E1077" s="3">
        <v>45939.0</v>
      </c>
      <c r="F1077" s="1" t="s">
        <v>3</v>
      </c>
      <c r="G1077" s="4">
        <v>6.38137251E8</v>
      </c>
      <c r="H1077" s="1" t="s">
        <v>2824</v>
      </c>
      <c r="I1077" s="2"/>
      <c r="J1077" s="1" t="s">
        <v>1937</v>
      </c>
      <c r="K1077" s="1">
        <v>10.0</v>
      </c>
      <c r="L1077" s="1"/>
      <c r="M1077" s="5">
        <v>169.85</v>
      </c>
      <c r="N1077" s="22">
        <f t="shared" si="1"/>
        <v>1698.5</v>
      </c>
    </row>
    <row r="1078" ht="15.75" customHeight="1">
      <c r="A1078" s="1" t="s">
        <v>2835</v>
      </c>
      <c r="B1078" s="2">
        <v>1154.0</v>
      </c>
      <c r="C1078" s="1" t="s">
        <v>219</v>
      </c>
      <c r="D1078" s="1" t="s">
        <v>2836</v>
      </c>
      <c r="E1078" s="3">
        <v>45939.0</v>
      </c>
      <c r="F1078" s="1" t="s">
        <v>3</v>
      </c>
      <c r="G1078" s="4">
        <v>6.38137251E8</v>
      </c>
      <c r="H1078" s="1" t="s">
        <v>2824</v>
      </c>
      <c r="I1078" s="2"/>
      <c r="J1078" s="1" t="s">
        <v>1937</v>
      </c>
      <c r="K1078" s="1">
        <v>100.0</v>
      </c>
      <c r="L1078" s="1"/>
      <c r="M1078" s="5">
        <v>119.46</v>
      </c>
      <c r="N1078" s="22">
        <f t="shared" si="1"/>
        <v>11946</v>
      </c>
    </row>
    <row r="1079" ht="15.75" customHeight="1">
      <c r="A1079" s="1" t="s">
        <v>2837</v>
      </c>
      <c r="B1079" s="2">
        <v>884.0</v>
      </c>
      <c r="C1079" s="1" t="s">
        <v>449</v>
      </c>
      <c r="D1079" s="1" t="s">
        <v>2838</v>
      </c>
      <c r="E1079" s="3">
        <v>45492.0</v>
      </c>
      <c r="F1079" s="1" t="s">
        <v>3</v>
      </c>
      <c r="G1079" s="4">
        <v>6.38138241E8</v>
      </c>
      <c r="H1079" s="1" t="s">
        <v>2839</v>
      </c>
      <c r="I1079" s="2"/>
      <c r="J1079" s="1" t="s">
        <v>1937</v>
      </c>
      <c r="K1079" s="1">
        <v>125.0</v>
      </c>
      <c r="L1079" s="1"/>
      <c r="M1079" s="5">
        <v>108.0</v>
      </c>
      <c r="N1079" s="22">
        <f t="shared" si="1"/>
        <v>13500</v>
      </c>
    </row>
    <row r="1080" ht="15.75" customHeight="1">
      <c r="A1080" s="1" t="s">
        <v>2840</v>
      </c>
      <c r="B1080" s="2">
        <v>894.0</v>
      </c>
      <c r="C1080" s="1" t="s">
        <v>449</v>
      </c>
      <c r="D1080" s="1" t="s">
        <v>2841</v>
      </c>
      <c r="E1080" s="3">
        <v>45512.0</v>
      </c>
      <c r="F1080" s="1" t="s">
        <v>3</v>
      </c>
      <c r="G1080" s="4">
        <v>6.38138241E8</v>
      </c>
      <c r="H1080" s="1" t="s">
        <v>2839</v>
      </c>
      <c r="I1080" s="2"/>
      <c r="J1080" s="1" t="s">
        <v>1937</v>
      </c>
      <c r="K1080" s="1">
        <v>125.0</v>
      </c>
      <c r="L1080" s="1"/>
      <c r="M1080" s="5">
        <v>108.0</v>
      </c>
      <c r="N1080" s="22">
        <f t="shared" si="1"/>
        <v>13500</v>
      </c>
    </row>
    <row r="1081" ht="15.75" customHeight="1">
      <c r="A1081" s="1" t="s">
        <v>2842</v>
      </c>
      <c r="B1081" s="2">
        <v>1107.0</v>
      </c>
      <c r="C1081" s="1" t="s">
        <v>286</v>
      </c>
      <c r="D1081" s="1" t="s">
        <v>2843</v>
      </c>
      <c r="E1081" s="3">
        <v>45863.0</v>
      </c>
      <c r="F1081" s="1" t="s">
        <v>3</v>
      </c>
      <c r="G1081" s="4">
        <v>6.38138251E8</v>
      </c>
      <c r="H1081" s="1" t="s">
        <v>2844</v>
      </c>
      <c r="I1081" s="2"/>
      <c r="J1081" s="1" t="s">
        <v>1937</v>
      </c>
      <c r="K1081" s="1">
        <v>160.0</v>
      </c>
      <c r="L1081" s="1"/>
      <c r="M1081" s="5">
        <v>126.99</v>
      </c>
      <c r="N1081" s="22">
        <f t="shared" si="1"/>
        <v>20318.4</v>
      </c>
    </row>
    <row r="1082" ht="15.75" customHeight="1">
      <c r="A1082" s="1" t="s">
        <v>2845</v>
      </c>
      <c r="B1082" s="2">
        <v>1112.0</v>
      </c>
      <c r="C1082" s="1" t="s">
        <v>169</v>
      </c>
      <c r="D1082" s="1" t="s">
        <v>2846</v>
      </c>
      <c r="E1082" s="3">
        <v>45870.0</v>
      </c>
      <c r="F1082" s="1" t="s">
        <v>3</v>
      </c>
      <c r="G1082" s="4">
        <v>6.38139251E8</v>
      </c>
      <c r="H1082" s="1" t="s">
        <v>2847</v>
      </c>
      <c r="I1082" s="2"/>
      <c r="J1082" s="1" t="s">
        <v>1937</v>
      </c>
      <c r="K1082" s="1">
        <v>5.0</v>
      </c>
      <c r="L1082" s="1"/>
      <c r="M1082" s="5">
        <v>125.0</v>
      </c>
      <c r="N1082" s="22">
        <f t="shared" si="1"/>
        <v>625</v>
      </c>
    </row>
    <row r="1083" ht="15.75" customHeight="1">
      <c r="A1083" s="1" t="s">
        <v>2848</v>
      </c>
      <c r="B1083" s="2">
        <v>1129.0</v>
      </c>
      <c r="C1083" s="1" t="s">
        <v>169</v>
      </c>
      <c r="D1083" s="1" t="s">
        <v>2849</v>
      </c>
      <c r="E1083" s="3">
        <v>45911.0</v>
      </c>
      <c r="F1083" s="1" t="s">
        <v>3</v>
      </c>
      <c r="G1083" s="4">
        <v>6.38139251E8</v>
      </c>
      <c r="H1083" s="1" t="s">
        <v>2847</v>
      </c>
      <c r="I1083" s="2"/>
      <c r="J1083" s="1" t="s">
        <v>1937</v>
      </c>
      <c r="K1083" s="1">
        <v>5.0</v>
      </c>
      <c r="L1083" s="1"/>
      <c r="M1083" s="5">
        <v>125.0</v>
      </c>
      <c r="N1083" s="22">
        <f t="shared" si="1"/>
        <v>625</v>
      </c>
    </row>
    <row r="1084" ht="15.75" customHeight="1">
      <c r="A1084" s="1" t="s">
        <v>2850</v>
      </c>
      <c r="B1084" s="2">
        <v>1109.0</v>
      </c>
      <c r="C1084" s="1" t="s">
        <v>43</v>
      </c>
      <c r="D1084" s="1" t="s">
        <v>2851</v>
      </c>
      <c r="E1084" s="3">
        <v>45863.0</v>
      </c>
      <c r="F1084" s="1" t="s">
        <v>3</v>
      </c>
      <c r="G1084" s="4">
        <v>6.38140251E8</v>
      </c>
      <c r="H1084" s="1" t="s">
        <v>2852</v>
      </c>
      <c r="I1084" s="2"/>
      <c r="J1084" s="1" t="s">
        <v>1937</v>
      </c>
      <c r="K1084" s="1">
        <v>5.0</v>
      </c>
      <c r="L1084" s="1"/>
      <c r="M1084" s="5">
        <v>143.98</v>
      </c>
      <c r="N1084" s="22">
        <f t="shared" si="1"/>
        <v>719.9</v>
      </c>
      <c r="O1084" s="15" t="s">
        <v>2179</v>
      </c>
      <c r="P1084" s="15" t="s">
        <v>2853</v>
      </c>
    </row>
    <row r="1085" ht="15.75" customHeight="1">
      <c r="A1085" s="1" t="s">
        <v>2854</v>
      </c>
      <c r="B1085" s="2">
        <v>1111.0</v>
      </c>
      <c r="C1085" s="1" t="s">
        <v>126</v>
      </c>
      <c r="D1085" s="1" t="s">
        <v>2855</v>
      </c>
      <c r="E1085" s="3">
        <v>45870.0</v>
      </c>
      <c r="F1085" s="1" t="s">
        <v>3</v>
      </c>
      <c r="G1085" s="4">
        <v>6.38141251E8</v>
      </c>
      <c r="H1085" s="1" t="s">
        <v>2856</v>
      </c>
      <c r="I1085" s="2"/>
      <c r="J1085" s="1" t="s">
        <v>1937</v>
      </c>
      <c r="K1085" s="1">
        <v>3.0</v>
      </c>
      <c r="L1085" s="1"/>
      <c r="M1085" s="5">
        <v>196.37</v>
      </c>
      <c r="N1085" s="22">
        <f t="shared" si="1"/>
        <v>589.11</v>
      </c>
    </row>
    <row r="1086" ht="15.75" customHeight="1">
      <c r="A1086" s="1" t="s">
        <v>2854</v>
      </c>
      <c r="B1086" s="2">
        <v>1111.0</v>
      </c>
      <c r="C1086" s="1" t="s">
        <v>126</v>
      </c>
      <c r="D1086" s="1" t="s">
        <v>2855</v>
      </c>
      <c r="E1086" s="3">
        <v>45870.0</v>
      </c>
      <c r="F1086" s="1" t="s">
        <v>3</v>
      </c>
      <c r="G1086" s="4">
        <v>6.38142251E8</v>
      </c>
      <c r="H1086" s="1" t="s">
        <v>2857</v>
      </c>
      <c r="I1086" s="2"/>
      <c r="J1086" s="1" t="s">
        <v>1937</v>
      </c>
      <c r="K1086" s="1">
        <v>5.0</v>
      </c>
      <c r="L1086" s="1"/>
      <c r="M1086" s="5">
        <v>178.34</v>
      </c>
      <c r="N1086" s="22">
        <f t="shared" si="1"/>
        <v>891.7</v>
      </c>
    </row>
    <row r="1087" ht="15.75" customHeight="1">
      <c r="A1087" s="1" t="s">
        <v>2858</v>
      </c>
      <c r="B1087" s="2">
        <v>880.0</v>
      </c>
      <c r="C1087" s="1" t="s">
        <v>929</v>
      </c>
      <c r="D1087" s="1" t="s">
        <v>2859</v>
      </c>
      <c r="E1087" s="3">
        <v>45492.0</v>
      </c>
      <c r="F1087" s="1" t="s">
        <v>3</v>
      </c>
      <c r="G1087" s="4">
        <v>6.38143241E8</v>
      </c>
      <c r="H1087" s="1" t="s">
        <v>2860</v>
      </c>
      <c r="I1087" s="2"/>
      <c r="J1087" s="1" t="s">
        <v>1937</v>
      </c>
      <c r="K1087" s="1">
        <v>15.0</v>
      </c>
      <c r="L1087" s="1"/>
      <c r="M1087" s="5">
        <v>172.22</v>
      </c>
      <c r="N1087" s="22">
        <f t="shared" si="1"/>
        <v>2583.3</v>
      </c>
    </row>
    <row r="1088" ht="15.75" customHeight="1">
      <c r="A1088" s="1" t="s">
        <v>2861</v>
      </c>
      <c r="B1088" s="2">
        <v>886.0</v>
      </c>
      <c r="C1088" s="1" t="s">
        <v>491</v>
      </c>
      <c r="D1088" s="1" t="s">
        <v>2862</v>
      </c>
      <c r="E1088" s="3">
        <v>45499.0</v>
      </c>
      <c r="F1088" s="1" t="s">
        <v>86</v>
      </c>
      <c r="G1088" s="4">
        <v>6.38144241E8</v>
      </c>
      <c r="H1088" s="1" t="s">
        <v>2863</v>
      </c>
      <c r="I1088" s="2"/>
      <c r="J1088" s="1" t="s">
        <v>1937</v>
      </c>
      <c r="K1088" s="1">
        <v>15.0</v>
      </c>
      <c r="L1088" s="1"/>
      <c r="M1088" s="5">
        <v>88.55</v>
      </c>
      <c r="N1088" s="22">
        <f t="shared" si="1"/>
        <v>1328.25</v>
      </c>
    </row>
    <row r="1089" ht="15.75" customHeight="1">
      <c r="A1089" s="1" t="s">
        <v>2861</v>
      </c>
      <c r="B1089" s="2">
        <v>886.0</v>
      </c>
      <c r="C1089" s="1" t="s">
        <v>491</v>
      </c>
      <c r="D1089" s="1" t="s">
        <v>2862</v>
      </c>
      <c r="E1089" s="3">
        <v>45499.0</v>
      </c>
      <c r="F1089" s="1" t="s">
        <v>86</v>
      </c>
      <c r="G1089" s="4">
        <v>6.38144241E8</v>
      </c>
      <c r="H1089" s="1" t="s">
        <v>2863</v>
      </c>
      <c r="I1089" s="2"/>
      <c r="J1089" s="1" t="s">
        <v>1937</v>
      </c>
      <c r="K1089" s="1">
        <v>5.0</v>
      </c>
      <c r="L1089" s="1"/>
      <c r="M1089" s="5">
        <v>98.73</v>
      </c>
      <c r="N1089" s="22">
        <f t="shared" si="1"/>
        <v>493.65</v>
      </c>
    </row>
    <row r="1090" ht="15.75" customHeight="1">
      <c r="A1090" s="1" t="s">
        <v>2864</v>
      </c>
      <c r="B1090" s="2">
        <v>882.0</v>
      </c>
      <c r="C1090" s="1" t="s">
        <v>282</v>
      </c>
      <c r="D1090" s="1" t="s">
        <v>2865</v>
      </c>
      <c r="E1090" s="3">
        <v>45492.0</v>
      </c>
      <c r="F1090" s="1" t="s">
        <v>3</v>
      </c>
      <c r="G1090" s="4">
        <v>6.38145241E8</v>
      </c>
      <c r="H1090" s="1" t="s">
        <v>2866</v>
      </c>
      <c r="I1090" s="2"/>
      <c r="J1090" s="1" t="s">
        <v>1937</v>
      </c>
      <c r="K1090" s="1">
        <v>20.0</v>
      </c>
      <c r="L1090" s="1"/>
      <c r="M1090" s="5">
        <v>126.88</v>
      </c>
      <c r="N1090" s="22">
        <f t="shared" si="1"/>
        <v>2537.6</v>
      </c>
      <c r="O1090" s="15" t="s">
        <v>2867</v>
      </c>
      <c r="P1090" s="15" t="s">
        <v>2868</v>
      </c>
    </row>
    <row r="1091" ht="15.75" customHeight="1">
      <c r="A1091" s="1" t="s">
        <v>2869</v>
      </c>
      <c r="B1091" s="2">
        <v>1114.0</v>
      </c>
      <c r="C1091" s="1" t="s">
        <v>422</v>
      </c>
      <c r="D1091" s="1" t="s">
        <v>2870</v>
      </c>
      <c r="E1091" s="3">
        <v>45870.0</v>
      </c>
      <c r="F1091" s="1" t="s">
        <v>3</v>
      </c>
      <c r="G1091" s="4">
        <v>6.38146251E8</v>
      </c>
      <c r="H1091" s="1" t="s">
        <v>2871</v>
      </c>
      <c r="I1091" s="2"/>
      <c r="J1091" s="1" t="s">
        <v>1937</v>
      </c>
      <c r="K1091" s="1">
        <v>1800.0</v>
      </c>
      <c r="L1091" s="1"/>
      <c r="M1091" s="5">
        <v>127.06</v>
      </c>
      <c r="N1091" s="22">
        <f t="shared" si="1"/>
        <v>228708</v>
      </c>
    </row>
    <row r="1092" ht="15.75" customHeight="1">
      <c r="A1092" s="1" t="s">
        <v>2872</v>
      </c>
      <c r="B1092" s="2">
        <v>1113.0</v>
      </c>
      <c r="C1092" s="1" t="s">
        <v>169</v>
      </c>
      <c r="D1092" s="1" t="s">
        <v>2873</v>
      </c>
      <c r="E1092" s="3">
        <v>45870.0</v>
      </c>
      <c r="F1092" s="1" t="s">
        <v>3</v>
      </c>
      <c r="G1092" s="4">
        <v>6.38147251E8</v>
      </c>
      <c r="H1092" s="1" t="s">
        <v>2874</v>
      </c>
      <c r="I1092" s="2"/>
      <c r="J1092" s="1" t="s">
        <v>1937</v>
      </c>
      <c r="K1092" s="1">
        <v>80.0</v>
      </c>
      <c r="L1092" s="1"/>
      <c r="M1092" s="5">
        <v>133.19</v>
      </c>
      <c r="N1092" s="22">
        <f t="shared" si="1"/>
        <v>10655.2</v>
      </c>
    </row>
    <row r="1093" ht="15.75" customHeight="1">
      <c r="A1093" s="1" t="s">
        <v>2807</v>
      </c>
      <c r="B1093" s="2">
        <v>887.0</v>
      </c>
      <c r="C1093" s="1" t="s">
        <v>362</v>
      </c>
      <c r="D1093" s="1" t="s">
        <v>2808</v>
      </c>
      <c r="E1093" s="3">
        <v>45499.0</v>
      </c>
      <c r="F1093" s="1" t="s">
        <v>3</v>
      </c>
      <c r="G1093" s="4">
        <v>6.38149241E8</v>
      </c>
      <c r="H1093" s="1" t="s">
        <v>2875</v>
      </c>
      <c r="I1093" s="2"/>
      <c r="J1093" s="1" t="s">
        <v>1937</v>
      </c>
      <c r="K1093" s="1">
        <v>1.0</v>
      </c>
      <c r="L1093" s="1"/>
      <c r="M1093" s="5">
        <v>232.35</v>
      </c>
      <c r="N1093" s="22">
        <f t="shared" si="1"/>
        <v>232.35</v>
      </c>
      <c r="O1093" s="15" t="s">
        <v>2876</v>
      </c>
      <c r="P1093" s="15" t="s">
        <v>2877</v>
      </c>
    </row>
    <row r="1094" ht="15.75" customHeight="1">
      <c r="A1094" s="1" t="s">
        <v>2878</v>
      </c>
      <c r="B1094" s="2">
        <v>1145.0</v>
      </c>
      <c r="C1094" s="1" t="s">
        <v>47</v>
      </c>
      <c r="D1094" s="1" t="s">
        <v>2879</v>
      </c>
      <c r="E1094" s="3">
        <v>45923.0</v>
      </c>
      <c r="F1094" s="1" t="s">
        <v>3</v>
      </c>
      <c r="G1094" s="4">
        <v>6.38149251E8</v>
      </c>
      <c r="H1094" s="1" t="s">
        <v>2880</v>
      </c>
      <c r="I1094" s="2"/>
      <c r="J1094" s="1" t="s">
        <v>1937</v>
      </c>
      <c r="K1094" s="1">
        <v>10.0</v>
      </c>
      <c r="L1094" s="1"/>
      <c r="M1094" s="5">
        <v>134.42</v>
      </c>
      <c r="N1094" s="22">
        <f t="shared" si="1"/>
        <v>1344.2</v>
      </c>
    </row>
    <row r="1095" ht="15.75" customHeight="1">
      <c r="A1095" s="1" t="s">
        <v>2881</v>
      </c>
      <c r="B1095" s="2">
        <v>885.0</v>
      </c>
      <c r="C1095" s="1" t="s">
        <v>1037</v>
      </c>
      <c r="D1095" s="1" t="s">
        <v>2882</v>
      </c>
      <c r="E1095" s="3">
        <v>45492.0</v>
      </c>
      <c r="F1095" s="1" t="s">
        <v>3</v>
      </c>
      <c r="G1095" s="4">
        <v>6.38151241E8</v>
      </c>
      <c r="H1095" s="1" t="s">
        <v>2883</v>
      </c>
      <c r="I1095" s="2"/>
      <c r="J1095" s="1" t="s">
        <v>623</v>
      </c>
      <c r="K1095" s="1">
        <v>1.0</v>
      </c>
      <c r="L1095" s="1"/>
      <c r="M1095" s="5">
        <v>142.24</v>
      </c>
      <c r="N1095" s="22">
        <f t="shared" si="1"/>
        <v>142.24</v>
      </c>
    </row>
    <row r="1096" ht="15.75" customHeight="1">
      <c r="A1096" s="1" t="s">
        <v>2884</v>
      </c>
      <c r="B1096" s="2">
        <v>888.0</v>
      </c>
      <c r="C1096" s="1" t="s">
        <v>518</v>
      </c>
      <c r="D1096" s="1" t="s">
        <v>2885</v>
      </c>
      <c r="E1096" s="3">
        <v>45499.0</v>
      </c>
      <c r="F1096" s="1" t="s">
        <v>3</v>
      </c>
      <c r="G1096" s="4">
        <v>6.38152241E8</v>
      </c>
      <c r="H1096" s="1" t="s">
        <v>2886</v>
      </c>
      <c r="I1096" s="2"/>
      <c r="J1096" s="1" t="s">
        <v>1937</v>
      </c>
      <c r="K1096" s="1">
        <v>10.0</v>
      </c>
      <c r="L1096" s="1"/>
      <c r="M1096" s="5">
        <v>140.63</v>
      </c>
      <c r="N1096" s="22">
        <f t="shared" si="1"/>
        <v>1406.3</v>
      </c>
      <c r="O1096" s="15" t="s">
        <v>2457</v>
      </c>
      <c r="P1096" s="15" t="s">
        <v>2887</v>
      </c>
    </row>
    <row r="1097" ht="15.75" customHeight="1">
      <c r="A1097" s="1" t="s">
        <v>2888</v>
      </c>
      <c r="B1097" s="2">
        <v>1131.0</v>
      </c>
      <c r="C1097" s="1" t="s">
        <v>772</v>
      </c>
      <c r="D1097" s="1" t="s">
        <v>2889</v>
      </c>
      <c r="E1097" s="3">
        <v>45911.0</v>
      </c>
      <c r="F1097" s="1" t="s">
        <v>3</v>
      </c>
      <c r="G1097" s="4">
        <v>6.38154251E8</v>
      </c>
      <c r="H1097" s="1" t="s">
        <v>2890</v>
      </c>
      <c r="I1097" s="2"/>
      <c r="J1097" s="1" t="s">
        <v>1937</v>
      </c>
      <c r="K1097" s="1">
        <v>20.0</v>
      </c>
      <c r="L1097" s="1"/>
      <c r="M1097" s="5">
        <v>124.05</v>
      </c>
      <c r="N1097" s="22">
        <f t="shared" si="1"/>
        <v>2481</v>
      </c>
    </row>
    <row r="1098" ht="15.75" customHeight="1">
      <c r="A1098" s="1" t="s">
        <v>2891</v>
      </c>
      <c r="B1098" s="2">
        <v>1133.0</v>
      </c>
      <c r="C1098" s="1" t="s">
        <v>769</v>
      </c>
      <c r="D1098" s="1" t="s">
        <v>2892</v>
      </c>
      <c r="E1098" s="3">
        <v>45911.0</v>
      </c>
      <c r="F1098" s="1" t="s">
        <v>3</v>
      </c>
      <c r="G1098" s="4">
        <v>6.38155251E8</v>
      </c>
      <c r="H1098" s="1" t="s">
        <v>2893</v>
      </c>
      <c r="I1098" s="2"/>
      <c r="J1098" s="1" t="s">
        <v>1937</v>
      </c>
      <c r="K1098" s="1">
        <v>50.0</v>
      </c>
      <c r="L1098" s="1"/>
      <c r="M1098" s="5">
        <v>180.9</v>
      </c>
      <c r="N1098" s="22">
        <f t="shared" si="1"/>
        <v>9045</v>
      </c>
    </row>
    <row r="1099" ht="15.75" customHeight="1">
      <c r="A1099" s="1" t="s">
        <v>2894</v>
      </c>
      <c r="B1099" s="2">
        <v>1135.0</v>
      </c>
      <c r="C1099" s="1" t="s">
        <v>2895</v>
      </c>
      <c r="D1099" s="1" t="s">
        <v>2896</v>
      </c>
      <c r="E1099" s="3">
        <v>45911.0</v>
      </c>
      <c r="F1099" s="1" t="s">
        <v>3</v>
      </c>
      <c r="G1099" s="4">
        <v>6.38158251E8</v>
      </c>
      <c r="H1099" s="1" t="s">
        <v>2897</v>
      </c>
      <c r="I1099" s="2"/>
      <c r="J1099" s="1" t="s">
        <v>1937</v>
      </c>
      <c r="K1099" s="1">
        <v>5.0</v>
      </c>
      <c r="L1099" s="1"/>
      <c r="M1099" s="5">
        <v>170.46</v>
      </c>
      <c r="N1099" s="22">
        <f t="shared" si="1"/>
        <v>852.3</v>
      </c>
    </row>
    <row r="1100" ht="15.75" customHeight="1">
      <c r="A1100" s="1" t="s">
        <v>2898</v>
      </c>
      <c r="B1100" s="2">
        <v>897.0</v>
      </c>
      <c r="C1100" s="1" t="s">
        <v>769</v>
      </c>
      <c r="D1100" s="1" t="s">
        <v>2899</v>
      </c>
      <c r="E1100" s="3">
        <v>45516.0</v>
      </c>
      <c r="F1100" s="1" t="s">
        <v>3</v>
      </c>
      <c r="G1100" s="4">
        <v>6.38159241E8</v>
      </c>
      <c r="H1100" s="1" t="s">
        <v>2900</v>
      </c>
      <c r="I1100" s="2"/>
      <c r="K1100" s="1">
        <v>50.0</v>
      </c>
      <c r="L1100" s="1"/>
      <c r="M1100" s="5">
        <v>158.66</v>
      </c>
      <c r="N1100" s="22">
        <f t="shared" si="1"/>
        <v>7933</v>
      </c>
    </row>
    <row r="1101" ht="15.75" customHeight="1">
      <c r="A1101" s="1" t="s">
        <v>2901</v>
      </c>
      <c r="B1101" s="2">
        <v>904.0</v>
      </c>
      <c r="C1101" s="1" t="s">
        <v>769</v>
      </c>
      <c r="D1101" s="1" t="s">
        <v>2902</v>
      </c>
      <c r="E1101" s="3">
        <v>45533.0</v>
      </c>
      <c r="F1101" s="1" t="s">
        <v>3</v>
      </c>
      <c r="G1101" s="4">
        <v>6.38159241E8</v>
      </c>
      <c r="H1101" s="1" t="s">
        <v>2900</v>
      </c>
      <c r="I1101" s="2"/>
      <c r="J1101" s="1" t="s">
        <v>1937</v>
      </c>
      <c r="K1101" s="1">
        <v>50.0</v>
      </c>
      <c r="L1101" s="1"/>
      <c r="M1101" s="5">
        <v>158.66</v>
      </c>
      <c r="N1101" s="22">
        <f t="shared" si="1"/>
        <v>7933</v>
      </c>
    </row>
    <row r="1102" ht="15.75" customHeight="1">
      <c r="A1102" s="1" t="s">
        <v>2903</v>
      </c>
      <c r="B1102" s="2">
        <v>1139.0</v>
      </c>
      <c r="C1102" s="1" t="s">
        <v>362</v>
      </c>
      <c r="D1102" s="1" t="s">
        <v>2904</v>
      </c>
      <c r="E1102" s="3">
        <v>45911.0</v>
      </c>
      <c r="F1102" s="1" t="s">
        <v>3</v>
      </c>
      <c r="G1102" s="4">
        <v>6.38159251E8</v>
      </c>
      <c r="H1102" s="1" t="s">
        <v>2905</v>
      </c>
      <c r="I1102" s="2"/>
      <c r="J1102" s="1" t="s">
        <v>1937</v>
      </c>
      <c r="K1102" s="1">
        <v>1.0</v>
      </c>
      <c r="L1102" s="1"/>
      <c r="M1102" s="5">
        <v>232.35</v>
      </c>
      <c r="N1102" s="22">
        <f t="shared" si="1"/>
        <v>232.35</v>
      </c>
    </row>
    <row r="1103" ht="15.75" customHeight="1">
      <c r="A1103" s="1" t="s">
        <v>2906</v>
      </c>
      <c r="B1103" s="2">
        <v>901.0</v>
      </c>
      <c r="C1103" s="1" t="s">
        <v>804</v>
      </c>
      <c r="D1103" s="1" t="s">
        <v>2907</v>
      </c>
      <c r="E1103" s="3">
        <v>45533.0</v>
      </c>
      <c r="F1103" s="1" t="s">
        <v>3</v>
      </c>
      <c r="G1103" s="4">
        <v>6.38165241E8</v>
      </c>
      <c r="H1103" s="1" t="s">
        <v>2908</v>
      </c>
      <c r="I1103" s="2"/>
      <c r="J1103" s="1" t="s">
        <v>1937</v>
      </c>
      <c r="K1103" s="1">
        <v>15.0</v>
      </c>
      <c r="L1103" s="1"/>
      <c r="M1103" s="5">
        <v>129.85</v>
      </c>
      <c r="N1103" s="22">
        <f t="shared" si="1"/>
        <v>1947.75</v>
      </c>
      <c r="O1103" s="15" t="s">
        <v>2678</v>
      </c>
      <c r="P1103" s="15" t="s">
        <v>2909</v>
      </c>
    </row>
    <row r="1104" ht="15.75" customHeight="1">
      <c r="A1104" s="1" t="s">
        <v>2910</v>
      </c>
      <c r="B1104" s="2">
        <v>1137.0</v>
      </c>
      <c r="C1104" s="1" t="s">
        <v>449</v>
      </c>
      <c r="D1104" s="1" t="s">
        <v>2911</v>
      </c>
      <c r="E1104" s="3">
        <v>45911.0</v>
      </c>
      <c r="F1104" s="1" t="s">
        <v>3</v>
      </c>
      <c r="G1104" s="4">
        <v>6.38165251E8</v>
      </c>
      <c r="H1104" s="1" t="s">
        <v>2912</v>
      </c>
      <c r="I1104" s="2"/>
      <c r="J1104" s="1" t="s">
        <v>1937</v>
      </c>
      <c r="K1104" s="1">
        <v>125.0</v>
      </c>
      <c r="L1104" s="1"/>
      <c r="M1104" s="5">
        <v>108.0</v>
      </c>
      <c r="N1104" s="22">
        <f t="shared" si="1"/>
        <v>13500</v>
      </c>
    </row>
    <row r="1105" ht="15.75" customHeight="1">
      <c r="A1105" s="1" t="s">
        <v>2913</v>
      </c>
      <c r="B1105" s="2">
        <v>911.0</v>
      </c>
      <c r="C1105" s="1" t="s">
        <v>219</v>
      </c>
      <c r="D1105" s="1" t="s">
        <v>2914</v>
      </c>
      <c r="E1105" s="3">
        <v>45537.0</v>
      </c>
      <c r="F1105" s="1" t="s">
        <v>3</v>
      </c>
      <c r="G1105" s="4">
        <v>6.38166241E8</v>
      </c>
      <c r="H1105" s="1" t="s">
        <v>2915</v>
      </c>
      <c r="I1105" s="2"/>
      <c r="J1105" s="1" t="s">
        <v>1937</v>
      </c>
      <c r="K1105" s="1">
        <v>20.0</v>
      </c>
      <c r="L1105" s="1"/>
      <c r="M1105" s="5">
        <v>119.46</v>
      </c>
      <c r="N1105" s="22">
        <f t="shared" si="1"/>
        <v>2389.2</v>
      </c>
    </row>
    <row r="1106" ht="15.75" customHeight="1">
      <c r="A1106" s="1" t="s">
        <v>2916</v>
      </c>
      <c r="B1106" s="2">
        <v>915.0</v>
      </c>
      <c r="C1106" s="1" t="s">
        <v>2917</v>
      </c>
      <c r="D1106" s="1" t="s">
        <v>2918</v>
      </c>
      <c r="E1106" s="3">
        <v>45538.0</v>
      </c>
      <c r="F1106" s="1" t="s">
        <v>3</v>
      </c>
      <c r="G1106" s="4">
        <v>6.38167241E8</v>
      </c>
      <c r="H1106" s="1" t="s">
        <v>2919</v>
      </c>
      <c r="I1106" s="2"/>
      <c r="J1106" s="1" t="s">
        <v>623</v>
      </c>
      <c r="K1106" s="1">
        <v>5.0</v>
      </c>
      <c r="L1106" s="1"/>
      <c r="M1106" s="5">
        <v>133.61</v>
      </c>
      <c r="N1106" s="22">
        <f t="shared" si="1"/>
        <v>668.05</v>
      </c>
    </row>
    <row r="1107" ht="15.75" customHeight="1">
      <c r="A1107" s="1" t="s">
        <v>2920</v>
      </c>
      <c r="B1107" s="2">
        <v>1141.0</v>
      </c>
      <c r="C1107" s="1" t="s">
        <v>464</v>
      </c>
      <c r="D1107" s="1" t="s">
        <v>2921</v>
      </c>
      <c r="E1107" s="3">
        <v>45911.0</v>
      </c>
      <c r="F1107" s="1" t="s">
        <v>3</v>
      </c>
      <c r="G1107" s="4">
        <v>6.38171251E8</v>
      </c>
      <c r="H1107" s="1" t="s">
        <v>2922</v>
      </c>
      <c r="I1107" s="2"/>
      <c r="J1107" s="1" t="s">
        <v>1937</v>
      </c>
      <c r="K1107" s="1">
        <v>20.0</v>
      </c>
      <c r="L1107" s="1"/>
      <c r="M1107" s="5">
        <v>144.07</v>
      </c>
      <c r="N1107" s="22">
        <f t="shared" si="1"/>
        <v>2881.4</v>
      </c>
    </row>
    <row r="1108" ht="15.75" customHeight="1">
      <c r="A1108" s="1" t="s">
        <v>2923</v>
      </c>
      <c r="B1108" s="2">
        <v>1142.0</v>
      </c>
      <c r="C1108" s="1" t="s">
        <v>190</v>
      </c>
      <c r="D1108" s="1" t="s">
        <v>2924</v>
      </c>
      <c r="E1108" s="3">
        <v>45911.0</v>
      </c>
      <c r="F1108" s="1" t="s">
        <v>3</v>
      </c>
      <c r="G1108" s="4">
        <v>6.38173251E8</v>
      </c>
      <c r="H1108" s="1" t="s">
        <v>2925</v>
      </c>
      <c r="I1108" s="2"/>
      <c r="J1108" s="1" t="s">
        <v>1937</v>
      </c>
      <c r="K1108" s="1">
        <v>5.0</v>
      </c>
      <c r="L1108" s="1"/>
      <c r="M1108" s="5">
        <v>142.87</v>
      </c>
      <c r="N1108" s="22">
        <f t="shared" si="1"/>
        <v>714.35</v>
      </c>
      <c r="O1108" s="15" t="s">
        <v>2926</v>
      </c>
      <c r="P1108" s="15" t="s">
        <v>2927</v>
      </c>
    </row>
    <row r="1109" ht="15.75" customHeight="1">
      <c r="A1109" s="1" t="s">
        <v>2928</v>
      </c>
      <c r="B1109" s="2">
        <v>1148.0</v>
      </c>
      <c r="C1109" s="1" t="s">
        <v>169</v>
      </c>
      <c r="D1109" s="1" t="s">
        <v>2929</v>
      </c>
      <c r="E1109" s="3">
        <v>45939.0</v>
      </c>
      <c r="F1109" s="1" t="s">
        <v>3</v>
      </c>
      <c r="G1109" s="4">
        <v>6.38173251E8</v>
      </c>
      <c r="H1109" s="1" t="s">
        <v>2925</v>
      </c>
      <c r="I1109" s="2"/>
      <c r="J1109" s="1" t="s">
        <v>1937</v>
      </c>
      <c r="K1109" s="1">
        <v>5.0</v>
      </c>
      <c r="L1109" s="1"/>
      <c r="M1109" s="5">
        <v>139.35</v>
      </c>
      <c r="N1109" s="22">
        <f t="shared" si="1"/>
        <v>696.75</v>
      </c>
    </row>
    <row r="1110" ht="15.75" customHeight="1">
      <c r="A1110" s="1" t="s">
        <v>2930</v>
      </c>
      <c r="B1110" s="2">
        <v>922.0</v>
      </c>
      <c r="C1110" s="1" t="s">
        <v>449</v>
      </c>
      <c r="D1110" s="1" t="s">
        <v>2931</v>
      </c>
      <c r="E1110" s="3">
        <v>45553.0</v>
      </c>
      <c r="F1110" s="1" t="s">
        <v>3</v>
      </c>
      <c r="G1110" s="4">
        <v>6.38175241E8</v>
      </c>
      <c r="H1110" s="1" t="s">
        <v>2932</v>
      </c>
      <c r="I1110" s="2"/>
      <c r="J1110" s="1" t="s">
        <v>1937</v>
      </c>
      <c r="K1110" s="1">
        <v>125.0</v>
      </c>
      <c r="L1110" s="1"/>
      <c r="M1110" s="5">
        <v>108.0</v>
      </c>
      <c r="N1110" s="22">
        <f t="shared" si="1"/>
        <v>13500</v>
      </c>
    </row>
    <row r="1111" ht="15.75" customHeight="1">
      <c r="A1111" s="1" t="s">
        <v>2933</v>
      </c>
      <c r="B1111" s="2">
        <v>946.0</v>
      </c>
      <c r="C1111" s="1" t="s">
        <v>457</v>
      </c>
      <c r="D1111" s="1" t="s">
        <v>2934</v>
      </c>
      <c r="E1111" s="3">
        <v>45583.0</v>
      </c>
      <c r="F1111" s="1" t="s">
        <v>3</v>
      </c>
      <c r="G1111" s="4">
        <v>6.38176241E8</v>
      </c>
      <c r="H1111" s="1" t="s">
        <v>2935</v>
      </c>
      <c r="I1111" s="2"/>
      <c r="J1111" s="1" t="s">
        <v>1937</v>
      </c>
      <c r="K1111" s="1">
        <v>100.0</v>
      </c>
      <c r="L1111" s="1"/>
      <c r="M1111" s="5">
        <v>133.0</v>
      </c>
      <c r="N1111" s="22">
        <f t="shared" si="1"/>
        <v>13300</v>
      </c>
    </row>
    <row r="1112" ht="15.75" customHeight="1">
      <c r="A1112" s="1" t="s">
        <v>2936</v>
      </c>
      <c r="B1112" s="2">
        <v>1160.0</v>
      </c>
      <c r="C1112" s="1" t="s">
        <v>2326</v>
      </c>
      <c r="D1112" s="1" t="s">
        <v>2937</v>
      </c>
      <c r="E1112" s="3">
        <v>45972.0</v>
      </c>
      <c r="F1112" s="1" t="s">
        <v>3</v>
      </c>
      <c r="G1112" s="4">
        <v>6.38184251E8</v>
      </c>
      <c r="H1112" s="1" t="s">
        <v>2938</v>
      </c>
      <c r="I1112" s="2"/>
      <c r="J1112" s="1" t="s">
        <v>1937</v>
      </c>
      <c r="K1112" s="1">
        <v>20.0</v>
      </c>
      <c r="L1112" s="1"/>
      <c r="M1112" s="5">
        <v>138.62</v>
      </c>
      <c r="N1112" s="22">
        <f t="shared" si="1"/>
        <v>2772.4</v>
      </c>
    </row>
    <row r="1113" ht="15.75" customHeight="1">
      <c r="A1113" s="1" t="s">
        <v>2939</v>
      </c>
      <c r="B1113" s="2">
        <v>925.0</v>
      </c>
      <c r="C1113" s="1" t="s">
        <v>135</v>
      </c>
      <c r="D1113" s="1" t="s">
        <v>2940</v>
      </c>
      <c r="E1113" s="3">
        <v>45554.0</v>
      </c>
      <c r="F1113" s="1" t="s">
        <v>3</v>
      </c>
      <c r="G1113" s="4">
        <v>6.38190241E8</v>
      </c>
      <c r="H1113" s="1" t="s">
        <v>2941</v>
      </c>
      <c r="I1113" s="2"/>
      <c r="J1113" s="1" t="s">
        <v>1937</v>
      </c>
      <c r="K1113" s="1">
        <v>40.0</v>
      </c>
      <c r="L1113" s="1"/>
      <c r="M1113" s="5">
        <v>137.39</v>
      </c>
      <c r="N1113" s="22">
        <f t="shared" si="1"/>
        <v>5495.6</v>
      </c>
    </row>
    <row r="1114" ht="15.75" customHeight="1">
      <c r="A1114" s="1" t="s">
        <v>2942</v>
      </c>
      <c r="B1114" s="2">
        <v>935.0</v>
      </c>
      <c r="C1114" s="1" t="s">
        <v>449</v>
      </c>
      <c r="D1114" s="1" t="s">
        <v>2943</v>
      </c>
      <c r="E1114" s="3">
        <v>45574.0</v>
      </c>
      <c r="F1114" s="1" t="s">
        <v>3</v>
      </c>
      <c r="G1114" s="4">
        <v>6.38192241E8</v>
      </c>
      <c r="H1114" s="1" t="s">
        <v>2944</v>
      </c>
      <c r="I1114" s="2"/>
      <c r="J1114" s="1" t="s">
        <v>1937</v>
      </c>
      <c r="K1114" s="1">
        <v>125.0</v>
      </c>
      <c r="L1114" s="1"/>
      <c r="M1114" s="5">
        <v>108.0</v>
      </c>
      <c r="N1114" s="22">
        <f t="shared" si="1"/>
        <v>13500</v>
      </c>
    </row>
    <row r="1115" ht="15.75" customHeight="1">
      <c r="A1115" s="1" t="s">
        <v>2945</v>
      </c>
      <c r="B1115" s="2">
        <v>932.0</v>
      </c>
      <c r="C1115" s="1" t="s">
        <v>809</v>
      </c>
      <c r="D1115" s="1" t="s">
        <v>2946</v>
      </c>
      <c r="E1115" s="3">
        <v>45574.0</v>
      </c>
      <c r="F1115" s="1" t="s">
        <v>3</v>
      </c>
      <c r="G1115" s="4">
        <v>6.38193241E8</v>
      </c>
      <c r="H1115" s="1" t="s">
        <v>2947</v>
      </c>
      <c r="I1115" s="2"/>
      <c r="J1115" s="1" t="s">
        <v>1937</v>
      </c>
      <c r="K1115" s="1">
        <v>10.0</v>
      </c>
      <c r="L1115" s="1"/>
      <c r="M1115" s="5">
        <v>182.08</v>
      </c>
      <c r="N1115" s="22">
        <f t="shared" si="1"/>
        <v>1820.8</v>
      </c>
    </row>
    <row r="1116" ht="15.75" customHeight="1">
      <c r="A1116" s="1" t="s">
        <v>2948</v>
      </c>
      <c r="B1116" s="2">
        <v>928.0</v>
      </c>
      <c r="C1116" s="1" t="s">
        <v>47</v>
      </c>
      <c r="D1116" s="1" t="s">
        <v>2949</v>
      </c>
      <c r="E1116" s="3">
        <v>45560.0</v>
      </c>
      <c r="F1116" s="1" t="s">
        <v>3</v>
      </c>
      <c r="G1116" s="4">
        <v>6.38196241E8</v>
      </c>
      <c r="H1116" s="1" t="s">
        <v>2950</v>
      </c>
      <c r="I1116" s="2"/>
      <c r="J1116" s="1" t="s">
        <v>1937</v>
      </c>
      <c r="K1116" s="1">
        <v>10.0</v>
      </c>
      <c r="L1116" s="1"/>
      <c r="M1116" s="5">
        <v>133.0</v>
      </c>
      <c r="N1116" s="22">
        <f t="shared" si="1"/>
        <v>1330</v>
      </c>
    </row>
    <row r="1117" ht="15.75" customHeight="1">
      <c r="A1117" s="1" t="s">
        <v>2951</v>
      </c>
      <c r="B1117" s="2">
        <v>929.0</v>
      </c>
      <c r="C1117" s="1" t="s">
        <v>2515</v>
      </c>
      <c r="D1117" s="1" t="s">
        <v>2952</v>
      </c>
      <c r="E1117" s="3">
        <v>45567.0</v>
      </c>
      <c r="F1117" s="1" t="s">
        <v>3</v>
      </c>
      <c r="G1117" s="4">
        <v>6.38198241E8</v>
      </c>
      <c r="H1117" s="1" t="s">
        <v>2953</v>
      </c>
      <c r="I1117" s="2"/>
      <c r="J1117" s="1" t="s">
        <v>1937</v>
      </c>
      <c r="K1117" s="1">
        <v>5.0</v>
      </c>
      <c r="L1117" s="1"/>
      <c r="M1117" s="5">
        <v>166.26</v>
      </c>
      <c r="N1117" s="22">
        <f t="shared" si="1"/>
        <v>831.3</v>
      </c>
    </row>
    <row r="1118" ht="15.75" customHeight="1">
      <c r="A1118" s="1" t="s">
        <v>2954</v>
      </c>
      <c r="B1118" s="2">
        <v>936.0</v>
      </c>
      <c r="C1118" s="1" t="s">
        <v>485</v>
      </c>
      <c r="D1118" s="1" t="s">
        <v>2955</v>
      </c>
      <c r="E1118" s="3">
        <v>45574.0</v>
      </c>
      <c r="F1118" s="1" t="s">
        <v>3</v>
      </c>
      <c r="G1118" s="4">
        <v>6.38199241E8</v>
      </c>
      <c r="H1118" s="1" t="s">
        <v>2956</v>
      </c>
      <c r="I1118" s="2"/>
      <c r="J1118" s="1" t="s">
        <v>1937</v>
      </c>
      <c r="K1118" s="1">
        <v>2.0</v>
      </c>
      <c r="L1118" s="1"/>
      <c r="M1118" s="5">
        <v>197.74</v>
      </c>
      <c r="N1118" s="22">
        <f t="shared" si="1"/>
        <v>395.48</v>
      </c>
    </row>
    <row r="1119" ht="15.75" customHeight="1">
      <c r="A1119" s="1" t="s">
        <v>2957</v>
      </c>
      <c r="B1119" s="2">
        <v>930.0</v>
      </c>
      <c r="C1119" s="1" t="s">
        <v>464</v>
      </c>
      <c r="D1119" s="1" t="s">
        <v>2958</v>
      </c>
      <c r="E1119" s="3">
        <v>45567.0</v>
      </c>
      <c r="F1119" s="1" t="s">
        <v>3</v>
      </c>
      <c r="G1119" s="4">
        <v>6.38201241E8</v>
      </c>
      <c r="H1119" s="1" t="s">
        <v>2959</v>
      </c>
      <c r="I1119" s="2"/>
      <c r="J1119" s="1" t="s">
        <v>1937</v>
      </c>
      <c r="K1119" s="1">
        <v>20.0</v>
      </c>
      <c r="L1119" s="1"/>
      <c r="M1119" s="5">
        <v>144.07</v>
      </c>
      <c r="N1119" s="22">
        <f t="shared" si="1"/>
        <v>2881.4</v>
      </c>
    </row>
    <row r="1120" ht="15.75" customHeight="1">
      <c r="A1120" s="1" t="s">
        <v>2960</v>
      </c>
      <c r="B1120" s="2">
        <v>941.0</v>
      </c>
      <c r="C1120" s="1" t="s">
        <v>513</v>
      </c>
      <c r="D1120" s="1" t="s">
        <v>2961</v>
      </c>
      <c r="E1120" s="3">
        <v>45580.0</v>
      </c>
      <c r="F1120" s="1" t="s">
        <v>3</v>
      </c>
      <c r="G1120" s="4">
        <v>6.38202241E8</v>
      </c>
      <c r="H1120" s="1" t="s">
        <v>2962</v>
      </c>
      <c r="I1120" s="2"/>
      <c r="J1120" s="1" t="s">
        <v>1937</v>
      </c>
      <c r="K1120" s="1">
        <v>40.0</v>
      </c>
      <c r="L1120" s="1"/>
      <c r="M1120" s="5">
        <v>158.42</v>
      </c>
      <c r="N1120" s="22">
        <f t="shared" si="1"/>
        <v>6336.8</v>
      </c>
    </row>
    <row r="1121" ht="15.75" customHeight="1">
      <c r="A1121" s="1" t="s">
        <v>2963</v>
      </c>
      <c r="B1121" s="2">
        <v>980.0</v>
      </c>
      <c r="C1121" s="1" t="s">
        <v>513</v>
      </c>
      <c r="D1121" s="1" t="s">
        <v>2964</v>
      </c>
      <c r="E1121" s="3">
        <v>45646.0</v>
      </c>
      <c r="F1121" s="1" t="s">
        <v>3</v>
      </c>
      <c r="G1121" s="4">
        <v>6.38202241E8</v>
      </c>
      <c r="H1121" s="1" t="s">
        <v>2962</v>
      </c>
      <c r="I1121" s="2"/>
      <c r="J1121" s="1" t="s">
        <v>1937</v>
      </c>
      <c r="K1121" s="1">
        <v>40.0</v>
      </c>
      <c r="L1121" s="1"/>
      <c r="M1121" s="5">
        <v>158.42</v>
      </c>
      <c r="N1121" s="22">
        <f t="shared" si="1"/>
        <v>6336.8</v>
      </c>
    </row>
    <row r="1122" ht="15.75" customHeight="1">
      <c r="A1122" s="30" t="s">
        <v>2965</v>
      </c>
      <c r="B1122" s="31">
        <v>983.0</v>
      </c>
      <c r="C1122" s="30" t="s">
        <v>513</v>
      </c>
      <c r="D1122" s="30" t="s">
        <v>2966</v>
      </c>
      <c r="E1122" s="32">
        <v>45646.0</v>
      </c>
      <c r="F1122" s="30" t="s">
        <v>3</v>
      </c>
      <c r="G1122" s="33">
        <v>6.38202241E8</v>
      </c>
      <c r="H1122" s="30" t="s">
        <v>2962</v>
      </c>
      <c r="I1122" s="31"/>
      <c r="J1122" s="30" t="s">
        <v>1937</v>
      </c>
      <c r="K1122" s="16">
        <v>40.0</v>
      </c>
      <c r="L1122" s="16"/>
      <c r="M1122" s="21">
        <v>158.42</v>
      </c>
      <c r="N1122" s="22">
        <f t="shared" si="1"/>
        <v>6336.8</v>
      </c>
    </row>
    <row r="1123" ht="15.75" customHeight="1">
      <c r="A1123" s="1" t="s">
        <v>2967</v>
      </c>
      <c r="B1123" s="2">
        <v>1007.0</v>
      </c>
      <c r="C1123" s="1" t="s">
        <v>513</v>
      </c>
      <c r="D1123" s="1" t="s">
        <v>2968</v>
      </c>
      <c r="E1123" s="3">
        <v>45699.0</v>
      </c>
      <c r="F1123" s="1" t="s">
        <v>3</v>
      </c>
      <c r="G1123" s="4">
        <v>6.38202241E8</v>
      </c>
      <c r="H1123" s="1" t="s">
        <v>2962</v>
      </c>
      <c r="I1123" s="2"/>
      <c r="J1123" s="1" t="s">
        <v>1937</v>
      </c>
      <c r="K1123" s="1">
        <v>40.0</v>
      </c>
      <c r="L1123" s="1"/>
      <c r="M1123" s="5">
        <v>158.42</v>
      </c>
      <c r="N1123" s="22">
        <f t="shared" si="1"/>
        <v>6336.8</v>
      </c>
    </row>
    <row r="1124" ht="15.75" customHeight="1">
      <c r="A1124" s="1" t="s">
        <v>2969</v>
      </c>
      <c r="B1124" s="2">
        <v>1163.0</v>
      </c>
      <c r="C1124" s="1" t="s">
        <v>169</v>
      </c>
      <c r="D1124" s="1" t="s">
        <v>2970</v>
      </c>
      <c r="E1124" s="3">
        <v>45972.0</v>
      </c>
      <c r="F1124" s="1" t="s">
        <v>3</v>
      </c>
      <c r="G1124" s="4">
        <v>6.38202251E8</v>
      </c>
      <c r="H1124" s="1" t="s">
        <v>2971</v>
      </c>
      <c r="I1124" s="2"/>
      <c r="J1124" s="1" t="s">
        <v>2334</v>
      </c>
      <c r="K1124" s="1">
        <v>5.0</v>
      </c>
      <c r="L1124" s="1"/>
      <c r="M1124" s="5">
        <v>125.0</v>
      </c>
      <c r="N1124" s="22">
        <f t="shared" si="1"/>
        <v>625</v>
      </c>
    </row>
    <row r="1125" ht="15.75" customHeight="1">
      <c r="A1125" s="1" t="s">
        <v>2972</v>
      </c>
      <c r="B1125" s="2">
        <v>940.0</v>
      </c>
      <c r="C1125" s="1" t="s">
        <v>748</v>
      </c>
      <c r="D1125" s="1" t="s">
        <v>2973</v>
      </c>
      <c r="E1125" s="3">
        <v>45580.0</v>
      </c>
      <c r="F1125" s="1" t="s">
        <v>3</v>
      </c>
      <c r="G1125" s="4">
        <v>6.38204241E8</v>
      </c>
      <c r="H1125" s="1" t="s">
        <v>2974</v>
      </c>
      <c r="I1125" s="2"/>
      <c r="J1125" s="1" t="s">
        <v>1937</v>
      </c>
      <c r="K1125" s="1">
        <v>24.0</v>
      </c>
      <c r="L1125" s="1"/>
      <c r="M1125" s="5">
        <v>172.24</v>
      </c>
      <c r="N1125" s="22">
        <f t="shared" si="1"/>
        <v>4133.76</v>
      </c>
      <c r="O1125" s="15" t="s">
        <v>2429</v>
      </c>
      <c r="P1125" s="15" t="s">
        <v>2975</v>
      </c>
    </row>
    <row r="1126" ht="15.75" customHeight="1">
      <c r="A1126" s="1" t="s">
        <v>2976</v>
      </c>
      <c r="B1126" s="2">
        <v>947.0</v>
      </c>
      <c r="C1126" s="1" t="s">
        <v>449</v>
      </c>
      <c r="D1126" s="1" t="s">
        <v>2977</v>
      </c>
      <c r="E1126" s="3">
        <v>45596.0</v>
      </c>
      <c r="F1126" s="1" t="s">
        <v>3</v>
      </c>
      <c r="G1126" s="4">
        <v>6.38213241E8</v>
      </c>
      <c r="H1126" s="1" t="s">
        <v>2978</v>
      </c>
      <c r="I1126" s="2"/>
      <c r="J1126" s="1" t="s">
        <v>1937</v>
      </c>
      <c r="K1126" s="1">
        <v>125.0</v>
      </c>
      <c r="L1126" s="1"/>
      <c r="M1126" s="5">
        <v>108.0</v>
      </c>
      <c r="N1126" s="22">
        <f t="shared" si="1"/>
        <v>13500</v>
      </c>
    </row>
    <row r="1127" ht="15.75" customHeight="1">
      <c r="A1127" s="1" t="s">
        <v>2979</v>
      </c>
      <c r="B1127" s="2">
        <v>970.0</v>
      </c>
      <c r="C1127" s="1" t="s">
        <v>449</v>
      </c>
      <c r="D1127" s="1" t="s">
        <v>2980</v>
      </c>
      <c r="E1127" s="3">
        <v>45618.0</v>
      </c>
      <c r="F1127" s="1" t="s">
        <v>3</v>
      </c>
      <c r="G1127" s="4">
        <v>6.38213241E8</v>
      </c>
      <c r="H1127" s="1" t="s">
        <v>2978</v>
      </c>
      <c r="I1127" s="2"/>
      <c r="J1127" s="1" t="s">
        <v>1937</v>
      </c>
      <c r="K1127" s="1">
        <v>125.0</v>
      </c>
      <c r="L1127" s="1"/>
      <c r="M1127" s="5">
        <v>108.0</v>
      </c>
      <c r="N1127" s="22">
        <f t="shared" si="1"/>
        <v>13500</v>
      </c>
    </row>
    <row r="1128" ht="15.75" customHeight="1">
      <c r="A1128" s="1" t="s">
        <v>2981</v>
      </c>
      <c r="B1128" s="2">
        <v>975.0</v>
      </c>
      <c r="C1128" s="1" t="s">
        <v>449</v>
      </c>
      <c r="D1128" s="1" t="s">
        <v>2982</v>
      </c>
      <c r="E1128" s="3">
        <v>45632.0</v>
      </c>
      <c r="F1128" s="1" t="s">
        <v>3</v>
      </c>
      <c r="G1128" s="4">
        <v>6.38213241E8</v>
      </c>
      <c r="H1128" s="1" t="s">
        <v>2978</v>
      </c>
      <c r="I1128" s="2"/>
      <c r="J1128" s="1" t="s">
        <v>1937</v>
      </c>
      <c r="K1128" s="1">
        <v>150.0</v>
      </c>
      <c r="L1128" s="1"/>
      <c r="M1128" s="5">
        <v>108.0</v>
      </c>
      <c r="N1128" s="22">
        <f t="shared" si="1"/>
        <v>16200</v>
      </c>
      <c r="O1128" s="15" t="s">
        <v>2983</v>
      </c>
      <c r="P1128" s="15" t="s">
        <v>2984</v>
      </c>
    </row>
    <row r="1129" ht="15.75" customHeight="1">
      <c r="A1129" s="1" t="s">
        <v>2985</v>
      </c>
      <c r="B1129" s="2">
        <v>954.0</v>
      </c>
      <c r="C1129" s="1" t="s">
        <v>680</v>
      </c>
      <c r="D1129" s="1" t="s">
        <v>2986</v>
      </c>
      <c r="E1129" s="3">
        <v>45596.0</v>
      </c>
      <c r="F1129" s="1" t="s">
        <v>3</v>
      </c>
      <c r="G1129" s="4">
        <v>6.38214241E8</v>
      </c>
      <c r="H1129" s="1" t="s">
        <v>2987</v>
      </c>
      <c r="I1129" s="2"/>
      <c r="J1129" s="1" t="s">
        <v>1937</v>
      </c>
      <c r="K1129" s="1">
        <v>1.0</v>
      </c>
      <c r="L1129" s="1"/>
      <c r="M1129" s="5">
        <v>176.04</v>
      </c>
      <c r="N1129" s="22">
        <f t="shared" si="1"/>
        <v>176.04</v>
      </c>
      <c r="O1129" s="15" t="s">
        <v>2988</v>
      </c>
      <c r="P1129" s="15" t="s">
        <v>2989</v>
      </c>
    </row>
    <row r="1130" ht="15.75" customHeight="1">
      <c r="A1130" s="1" t="s">
        <v>2990</v>
      </c>
      <c r="B1130" s="2">
        <v>951.0</v>
      </c>
      <c r="C1130" s="1" t="s">
        <v>255</v>
      </c>
      <c r="D1130" s="1" t="s">
        <v>2991</v>
      </c>
      <c r="E1130" s="3">
        <v>45596.0</v>
      </c>
      <c r="F1130" s="1" t="s">
        <v>3</v>
      </c>
      <c r="G1130" s="4">
        <v>6.38221241E8</v>
      </c>
      <c r="H1130" s="1" t="s">
        <v>2992</v>
      </c>
      <c r="I1130" s="2"/>
      <c r="J1130" s="1" t="s">
        <v>1937</v>
      </c>
      <c r="K1130" s="1">
        <v>100.0</v>
      </c>
      <c r="L1130" s="1"/>
      <c r="M1130" s="5">
        <v>153.56</v>
      </c>
      <c r="N1130" s="22">
        <f t="shared" si="1"/>
        <v>15356</v>
      </c>
    </row>
    <row r="1131" ht="15.75" customHeight="1">
      <c r="A1131" s="1" t="s">
        <v>2993</v>
      </c>
      <c r="B1131" s="2">
        <v>966.0</v>
      </c>
      <c r="C1131" s="1" t="s">
        <v>1264</v>
      </c>
      <c r="D1131" s="1" t="s">
        <v>2994</v>
      </c>
      <c r="E1131" s="3">
        <v>45617.0</v>
      </c>
      <c r="F1131" s="1" t="s">
        <v>3</v>
      </c>
      <c r="G1131" s="4">
        <v>6.38225241E8</v>
      </c>
      <c r="H1131" s="1" t="s">
        <v>2995</v>
      </c>
      <c r="I1131" s="2"/>
      <c r="J1131" s="1" t="s">
        <v>1937</v>
      </c>
      <c r="K1131" s="1">
        <v>5.0</v>
      </c>
      <c r="L1131" s="1"/>
      <c r="M1131" s="5">
        <v>113.97</v>
      </c>
      <c r="N1131" s="22">
        <f t="shared" si="1"/>
        <v>569.85</v>
      </c>
      <c r="O1131" s="15" t="s">
        <v>2996</v>
      </c>
      <c r="P1131" s="15" t="s">
        <v>2997</v>
      </c>
    </row>
    <row r="1132" ht="15.75" customHeight="1">
      <c r="A1132" s="1" t="s">
        <v>2998</v>
      </c>
      <c r="B1132" s="2">
        <v>959.0</v>
      </c>
      <c r="C1132" s="1" t="s">
        <v>488</v>
      </c>
      <c r="D1132" s="1" t="s">
        <v>2999</v>
      </c>
      <c r="E1132" s="3">
        <v>45602.0</v>
      </c>
      <c r="F1132" s="1" t="s">
        <v>3</v>
      </c>
      <c r="G1132" s="4">
        <v>6.38226241E8</v>
      </c>
      <c r="H1132" s="1" t="s">
        <v>3000</v>
      </c>
      <c r="I1132" s="2"/>
      <c r="J1132" s="1" t="s">
        <v>1937</v>
      </c>
      <c r="K1132" s="1">
        <v>5.0</v>
      </c>
      <c r="L1132" s="1"/>
      <c r="M1132" s="5">
        <v>110.53</v>
      </c>
      <c r="N1132" s="22">
        <f t="shared" si="1"/>
        <v>552.65</v>
      </c>
    </row>
    <row r="1133" ht="15.75" customHeight="1">
      <c r="A1133" s="1" t="s">
        <v>3001</v>
      </c>
      <c r="B1133" s="2">
        <v>961.0</v>
      </c>
      <c r="C1133" s="1" t="s">
        <v>488</v>
      </c>
      <c r="D1133" s="1" t="s">
        <v>3002</v>
      </c>
      <c r="E1133" s="3">
        <v>45602.0</v>
      </c>
      <c r="F1133" s="1" t="s">
        <v>3</v>
      </c>
      <c r="G1133" s="4">
        <v>6.38226241E8</v>
      </c>
      <c r="H1133" s="1" t="s">
        <v>3000</v>
      </c>
      <c r="I1133" s="2"/>
      <c r="J1133" s="1" t="s">
        <v>1937</v>
      </c>
      <c r="K1133" s="1">
        <v>5.0</v>
      </c>
      <c r="L1133" s="1"/>
      <c r="M1133" s="5">
        <v>110.53</v>
      </c>
      <c r="N1133" s="22">
        <f t="shared" si="1"/>
        <v>552.65</v>
      </c>
    </row>
    <row r="1134" ht="15.75" customHeight="1">
      <c r="A1134" s="1" t="s">
        <v>3003</v>
      </c>
      <c r="B1134" s="2">
        <v>967.0</v>
      </c>
      <c r="C1134" s="1" t="s">
        <v>488</v>
      </c>
      <c r="D1134" s="1" t="s">
        <v>3004</v>
      </c>
      <c r="E1134" s="3">
        <v>45618.0</v>
      </c>
      <c r="F1134" s="1" t="s">
        <v>3</v>
      </c>
      <c r="G1134" s="4">
        <v>6.38226241E8</v>
      </c>
      <c r="H1134" s="1" t="s">
        <v>3000</v>
      </c>
      <c r="I1134" s="2"/>
      <c r="J1134" s="1" t="s">
        <v>1937</v>
      </c>
      <c r="K1134" s="1">
        <v>5.0</v>
      </c>
      <c r="L1134" s="1"/>
      <c r="M1134" s="5">
        <v>110.53</v>
      </c>
      <c r="N1134" s="22">
        <f t="shared" si="1"/>
        <v>552.65</v>
      </c>
    </row>
    <row r="1135" ht="15.75" customHeight="1">
      <c r="A1135" s="1" t="s">
        <v>3005</v>
      </c>
      <c r="B1135" s="2">
        <v>968.0</v>
      </c>
      <c r="C1135" s="1" t="s">
        <v>169</v>
      </c>
      <c r="D1135" s="1" t="s">
        <v>3006</v>
      </c>
      <c r="E1135" s="3">
        <v>45618.0</v>
      </c>
      <c r="F1135" s="1" t="s">
        <v>3</v>
      </c>
      <c r="G1135" s="4">
        <v>6.38234241E8</v>
      </c>
      <c r="H1135" s="1" t="s">
        <v>3007</v>
      </c>
      <c r="I1135" s="2"/>
      <c r="J1135" s="1" t="s">
        <v>623</v>
      </c>
      <c r="K1135" s="1">
        <v>40.0</v>
      </c>
      <c r="L1135" s="1"/>
      <c r="M1135" s="5">
        <v>133.19</v>
      </c>
      <c r="N1135" s="22">
        <f t="shared" si="1"/>
        <v>5327.6</v>
      </c>
      <c r="O1135" s="15" t="s">
        <v>3008</v>
      </c>
      <c r="P1135" s="15" t="s">
        <v>3009</v>
      </c>
    </row>
    <row r="1136" ht="15.75" customHeight="1">
      <c r="A1136" s="1" t="s">
        <v>3010</v>
      </c>
      <c r="B1136" s="2">
        <v>972.0</v>
      </c>
      <c r="C1136" s="1" t="s">
        <v>461</v>
      </c>
      <c r="D1136" s="1" t="s">
        <v>3011</v>
      </c>
      <c r="E1136" s="3">
        <v>45624.0</v>
      </c>
      <c r="F1136" s="1" t="s">
        <v>3</v>
      </c>
      <c r="G1136" s="4">
        <v>6.38237241E8</v>
      </c>
      <c r="H1136" s="1" t="s">
        <v>3012</v>
      </c>
      <c r="I1136" s="2"/>
      <c r="J1136" s="1" t="s">
        <v>1937</v>
      </c>
      <c r="K1136" s="1">
        <v>5.0</v>
      </c>
      <c r="L1136" s="1"/>
      <c r="M1136" s="5">
        <v>138.49</v>
      </c>
      <c r="N1136" s="22">
        <f t="shared" si="1"/>
        <v>692.45</v>
      </c>
      <c r="O1136" s="15" t="s">
        <v>3013</v>
      </c>
      <c r="P1136" s="15" t="s">
        <v>3014</v>
      </c>
    </row>
    <row r="1137" ht="15.75" customHeight="1">
      <c r="A1137" s="1" t="s">
        <v>3015</v>
      </c>
      <c r="B1137" s="2">
        <v>978.0</v>
      </c>
      <c r="C1137" s="1" t="s">
        <v>858</v>
      </c>
      <c r="D1137" s="1" t="s">
        <v>3016</v>
      </c>
      <c r="E1137" s="3">
        <v>45646.0</v>
      </c>
      <c r="F1137" s="1" t="s">
        <v>3</v>
      </c>
      <c r="G1137" s="4">
        <v>6.38245241E8</v>
      </c>
      <c r="H1137" s="1" t="s">
        <v>3017</v>
      </c>
      <c r="I1137" s="2"/>
      <c r="J1137" s="1" t="s">
        <v>1937</v>
      </c>
      <c r="K1137" s="1">
        <v>10.0</v>
      </c>
      <c r="L1137" s="1"/>
      <c r="M1137" s="5">
        <v>133.0</v>
      </c>
      <c r="N1137" s="22">
        <f t="shared" si="1"/>
        <v>1330</v>
      </c>
    </row>
    <row r="1138" ht="15.75" customHeight="1">
      <c r="A1138" s="1" t="s">
        <v>3018</v>
      </c>
      <c r="B1138" s="2">
        <v>979.0</v>
      </c>
      <c r="C1138" s="1" t="s">
        <v>1037</v>
      </c>
      <c r="D1138" s="1" t="s">
        <v>3019</v>
      </c>
      <c r="E1138" s="3">
        <v>45646.0</v>
      </c>
      <c r="F1138" s="1" t="s">
        <v>3</v>
      </c>
      <c r="G1138" s="4">
        <v>6.38247241E8</v>
      </c>
      <c r="H1138" s="1" t="s">
        <v>3020</v>
      </c>
      <c r="I1138" s="2"/>
      <c r="J1138" s="1" t="s">
        <v>1937</v>
      </c>
      <c r="K1138" s="1">
        <v>1.0</v>
      </c>
      <c r="L1138" s="1"/>
      <c r="M1138" s="5">
        <v>142.24</v>
      </c>
      <c r="N1138" s="22">
        <f t="shared" si="1"/>
        <v>142.24</v>
      </c>
    </row>
    <row r="1139" ht="15.75" customHeight="1">
      <c r="A1139" s="1" t="s">
        <v>3021</v>
      </c>
      <c r="B1139" s="2">
        <v>981.0</v>
      </c>
      <c r="C1139" s="1" t="s">
        <v>1037</v>
      </c>
      <c r="D1139" s="1" t="s">
        <v>3022</v>
      </c>
      <c r="E1139" s="3">
        <v>45646.0</v>
      </c>
      <c r="F1139" s="1" t="s">
        <v>3</v>
      </c>
      <c r="G1139" s="4">
        <v>6.38247241E8</v>
      </c>
      <c r="H1139" s="1" t="s">
        <v>3020</v>
      </c>
      <c r="I1139" s="2"/>
      <c r="J1139" s="1" t="s">
        <v>1937</v>
      </c>
      <c r="K1139" s="1">
        <v>1.0</v>
      </c>
      <c r="L1139" s="1"/>
      <c r="M1139" s="5">
        <v>142.24</v>
      </c>
      <c r="N1139" s="22">
        <f t="shared" si="1"/>
        <v>142.24</v>
      </c>
    </row>
    <row r="1140" ht="15.75" customHeight="1">
      <c r="A1140" s="1" t="s">
        <v>3023</v>
      </c>
      <c r="B1140" s="2">
        <v>985.0</v>
      </c>
      <c r="C1140" s="1" t="s">
        <v>219</v>
      </c>
      <c r="D1140" s="1" t="s">
        <v>3024</v>
      </c>
      <c r="E1140" s="3">
        <v>45688.0</v>
      </c>
      <c r="F1140" s="1" t="s">
        <v>3</v>
      </c>
      <c r="G1140" s="4">
        <v>6.38249241E8</v>
      </c>
      <c r="H1140" s="1" t="s">
        <v>3025</v>
      </c>
      <c r="I1140" s="2"/>
      <c r="J1140" s="1" t="s">
        <v>1937</v>
      </c>
      <c r="K1140" s="1">
        <v>50.0</v>
      </c>
      <c r="L1140" s="1"/>
      <c r="M1140" s="5">
        <v>119.46</v>
      </c>
      <c r="N1140" s="22">
        <f t="shared" si="1"/>
        <v>5973</v>
      </c>
    </row>
    <row r="1141" ht="15.75" customHeight="1">
      <c r="A1141" s="1" t="s">
        <v>3026</v>
      </c>
      <c r="B1141" s="2">
        <v>1016.0</v>
      </c>
      <c r="C1141" s="1" t="s">
        <v>929</v>
      </c>
      <c r="D1141" s="1" t="s">
        <v>3027</v>
      </c>
      <c r="E1141" s="3">
        <v>45708.0</v>
      </c>
      <c r="F1141" s="1" t="s">
        <v>3</v>
      </c>
      <c r="G1141" s="4">
        <v>6.38251241E8</v>
      </c>
      <c r="H1141" s="1" t="s">
        <v>3028</v>
      </c>
      <c r="I1141" s="2"/>
      <c r="J1141" s="1" t="s">
        <v>1937</v>
      </c>
      <c r="K1141" s="1">
        <v>15.0</v>
      </c>
      <c r="L1141" s="1"/>
      <c r="M1141" s="5">
        <v>172.22</v>
      </c>
      <c r="N1141" s="22">
        <f t="shared" si="1"/>
        <v>2583.3</v>
      </c>
      <c r="O1141" s="15" t="s">
        <v>3029</v>
      </c>
      <c r="P1141" s="15" t="s">
        <v>3030</v>
      </c>
    </row>
    <row r="1142" ht="15.75" customHeight="1">
      <c r="A1142" s="1" t="s">
        <v>3031</v>
      </c>
      <c r="B1142" s="2">
        <v>1042.0</v>
      </c>
      <c r="C1142" s="1" t="s">
        <v>929</v>
      </c>
      <c r="D1142" s="1" t="s">
        <v>3032</v>
      </c>
      <c r="E1142" s="3">
        <v>45742.0</v>
      </c>
      <c r="F1142" s="1" t="s">
        <v>3</v>
      </c>
      <c r="G1142" s="4">
        <v>6.38251241E8</v>
      </c>
      <c r="H1142" s="1" t="s">
        <v>3028</v>
      </c>
      <c r="I1142" s="2"/>
      <c r="J1142" s="1" t="s">
        <v>1937</v>
      </c>
      <c r="K1142" s="1">
        <v>15.0</v>
      </c>
      <c r="L1142" s="1"/>
      <c r="M1142" s="5">
        <v>172.22</v>
      </c>
      <c r="N1142" s="22">
        <f t="shared" si="1"/>
        <v>2583.3</v>
      </c>
    </row>
    <row r="1143" ht="15.75" customHeight="1">
      <c r="A1143" s="1" t="s">
        <v>1711</v>
      </c>
      <c r="B1143" s="2">
        <v>987.0</v>
      </c>
      <c r="C1143" s="1" t="s">
        <v>1264</v>
      </c>
      <c r="D1143" s="1" t="s">
        <v>1712</v>
      </c>
      <c r="E1143" s="3">
        <v>45688.0</v>
      </c>
      <c r="F1143" s="1" t="s">
        <v>3</v>
      </c>
      <c r="G1143" s="4">
        <v>6.38255241E8</v>
      </c>
      <c r="H1143" s="1" t="s">
        <v>3033</v>
      </c>
      <c r="I1143" s="2"/>
      <c r="J1143" s="1" t="s">
        <v>1937</v>
      </c>
      <c r="K1143" s="1">
        <v>10.0</v>
      </c>
      <c r="L1143" s="1"/>
      <c r="M1143" s="5">
        <v>139.69</v>
      </c>
      <c r="N1143" s="22">
        <f t="shared" si="1"/>
        <v>1396.9</v>
      </c>
    </row>
    <row r="1144" ht="15.75" customHeight="1">
      <c r="A1144" s="1" t="s">
        <v>3034</v>
      </c>
      <c r="B1144" s="2">
        <v>1054.0</v>
      </c>
      <c r="C1144" s="1" t="s">
        <v>809</v>
      </c>
      <c r="D1144" s="1" t="s">
        <v>3035</v>
      </c>
      <c r="E1144" s="3">
        <v>45790.0</v>
      </c>
      <c r="F1144" s="1" t="s">
        <v>3</v>
      </c>
      <c r="G1144" s="4">
        <v>6.38257241E8</v>
      </c>
      <c r="H1144" s="1" t="s">
        <v>3036</v>
      </c>
      <c r="I1144" s="2"/>
      <c r="J1144" s="1" t="s">
        <v>1937</v>
      </c>
      <c r="K1144" s="1">
        <v>10.0</v>
      </c>
      <c r="L1144" s="1"/>
      <c r="M1144" s="5">
        <v>163.0</v>
      </c>
      <c r="N1144" s="22">
        <f t="shared" si="1"/>
        <v>1630</v>
      </c>
      <c r="O1144" s="15" t="s">
        <v>3037</v>
      </c>
      <c r="P1144" s="15" t="s">
        <v>3038</v>
      </c>
    </row>
    <row r="1145" ht="15.75" customHeight="1">
      <c r="A1145" s="1" t="s">
        <v>3039</v>
      </c>
      <c r="B1145" s="2">
        <v>1055.0</v>
      </c>
      <c r="C1145" s="1" t="s">
        <v>809</v>
      </c>
      <c r="D1145" s="1" t="s">
        <v>3040</v>
      </c>
      <c r="E1145" s="3">
        <v>45792.0</v>
      </c>
      <c r="F1145" s="1" t="s">
        <v>3</v>
      </c>
      <c r="G1145" s="4">
        <v>6.38257241E8</v>
      </c>
      <c r="H1145" s="1" t="s">
        <v>3036</v>
      </c>
      <c r="I1145" s="2"/>
      <c r="J1145" s="1" t="s">
        <v>1937</v>
      </c>
      <c r="K1145" s="1">
        <v>10.0</v>
      </c>
      <c r="L1145" s="1"/>
      <c r="M1145" s="5">
        <v>163.0</v>
      </c>
      <c r="N1145" s="22">
        <f t="shared" si="1"/>
        <v>1630</v>
      </c>
      <c r="O1145" s="15" t="s">
        <v>3041</v>
      </c>
      <c r="P1145" s="15" t="s">
        <v>3042</v>
      </c>
    </row>
    <row r="1146" ht="15.75" customHeight="1">
      <c r="A1146" s="1" t="s">
        <v>3043</v>
      </c>
      <c r="B1146" s="2">
        <v>988.0</v>
      </c>
      <c r="C1146" s="1" t="s">
        <v>1264</v>
      </c>
      <c r="D1146" s="1" t="s">
        <v>3044</v>
      </c>
      <c r="E1146" s="3">
        <v>45698.0</v>
      </c>
      <c r="F1146" s="1" t="s">
        <v>3</v>
      </c>
      <c r="G1146" s="4">
        <v>6.38258241E8</v>
      </c>
      <c r="H1146" s="1" t="s">
        <v>3045</v>
      </c>
      <c r="I1146" s="2"/>
      <c r="J1146" s="1" t="s">
        <v>1937</v>
      </c>
      <c r="K1146" s="1">
        <v>125.0</v>
      </c>
      <c r="L1146" s="1"/>
      <c r="M1146" s="5">
        <v>108.0</v>
      </c>
      <c r="N1146" s="22">
        <f t="shared" si="1"/>
        <v>13500</v>
      </c>
    </row>
    <row r="1147" ht="15.75" customHeight="1">
      <c r="A1147" s="1" t="s">
        <v>3046</v>
      </c>
      <c r="B1147" s="2">
        <v>994.0</v>
      </c>
      <c r="C1147" s="1" t="s">
        <v>2515</v>
      </c>
      <c r="D1147" s="1" t="s">
        <v>3047</v>
      </c>
      <c r="E1147" s="3">
        <v>45698.0</v>
      </c>
      <c r="F1147" s="1" t="s">
        <v>3</v>
      </c>
      <c r="G1147" s="4">
        <v>6.38258241E8</v>
      </c>
      <c r="H1147" s="1" t="s">
        <v>3045</v>
      </c>
      <c r="I1147" s="2"/>
      <c r="J1147" s="1" t="s">
        <v>1937</v>
      </c>
      <c r="K1147" s="1">
        <v>5.0</v>
      </c>
      <c r="L1147" s="1"/>
      <c r="M1147" s="5">
        <v>166.26</v>
      </c>
      <c r="N1147" s="22">
        <f t="shared" si="1"/>
        <v>831.3</v>
      </c>
    </row>
    <row r="1148" ht="15.75" customHeight="1">
      <c r="A1148" s="1" t="s">
        <v>3048</v>
      </c>
      <c r="B1148" s="2">
        <v>986.0</v>
      </c>
      <c r="C1148" s="1" t="s">
        <v>255</v>
      </c>
      <c r="D1148" s="1" t="s">
        <v>3049</v>
      </c>
      <c r="E1148" s="3">
        <v>45688.0</v>
      </c>
      <c r="F1148" s="1" t="s">
        <v>3</v>
      </c>
      <c r="G1148" s="4">
        <v>6.38259241E8</v>
      </c>
      <c r="H1148" s="1" t="s">
        <v>3050</v>
      </c>
      <c r="I1148" s="2"/>
      <c r="J1148" s="1" t="s">
        <v>1937</v>
      </c>
      <c r="K1148" s="1">
        <v>300.0</v>
      </c>
      <c r="L1148" s="1"/>
      <c r="M1148" s="5">
        <v>153.56</v>
      </c>
      <c r="N1148" s="22">
        <f t="shared" si="1"/>
        <v>46068</v>
      </c>
    </row>
    <row r="1149" ht="15.75" customHeight="1">
      <c r="A1149" s="1" t="s">
        <v>3051</v>
      </c>
      <c r="B1149" s="2">
        <v>1000.0</v>
      </c>
      <c r="C1149" s="1" t="s">
        <v>219</v>
      </c>
      <c r="D1149" s="1" t="s">
        <v>3052</v>
      </c>
      <c r="E1149" s="3">
        <v>45698.0</v>
      </c>
      <c r="F1149" s="1" t="s">
        <v>3</v>
      </c>
      <c r="G1149" s="4">
        <v>6.38259241E8</v>
      </c>
      <c r="H1149" s="1" t="s">
        <v>3050</v>
      </c>
      <c r="I1149" s="2"/>
      <c r="J1149" s="1" t="s">
        <v>1937</v>
      </c>
      <c r="K1149" s="1">
        <v>75.0</v>
      </c>
      <c r="L1149" s="1"/>
      <c r="M1149" s="5">
        <v>119.46</v>
      </c>
      <c r="N1149" s="22">
        <f t="shared" si="1"/>
        <v>8959.5</v>
      </c>
    </row>
    <row r="1150" ht="15.75" customHeight="1">
      <c r="A1150" s="1" t="s">
        <v>3053</v>
      </c>
      <c r="B1150" s="2">
        <v>1001.0</v>
      </c>
      <c r="C1150" s="1" t="s">
        <v>461</v>
      </c>
      <c r="D1150" s="1" t="s">
        <v>3054</v>
      </c>
      <c r="E1150" s="3">
        <v>45698.0</v>
      </c>
      <c r="F1150" s="1" t="s">
        <v>3</v>
      </c>
      <c r="G1150" s="4">
        <v>6.38259241E8</v>
      </c>
      <c r="H1150" s="1" t="s">
        <v>3050</v>
      </c>
      <c r="I1150" s="2"/>
      <c r="J1150" s="1" t="s">
        <v>1937</v>
      </c>
      <c r="K1150" s="1">
        <v>10.0</v>
      </c>
      <c r="L1150" s="1"/>
      <c r="M1150" s="5">
        <v>135.47</v>
      </c>
      <c r="N1150" s="22">
        <f t="shared" si="1"/>
        <v>1354.7</v>
      </c>
    </row>
    <row r="1151" ht="15.75" customHeight="1">
      <c r="A1151" s="1" t="s">
        <v>3055</v>
      </c>
      <c r="B1151" s="2">
        <v>1015.0</v>
      </c>
      <c r="C1151" s="1" t="s">
        <v>286</v>
      </c>
      <c r="D1151" s="1" t="s">
        <v>3056</v>
      </c>
      <c r="E1151" s="3">
        <v>45708.0</v>
      </c>
      <c r="F1151" s="1" t="s">
        <v>3</v>
      </c>
      <c r="G1151" s="4">
        <v>6.38260241E8</v>
      </c>
      <c r="H1151" s="1" t="s">
        <v>3057</v>
      </c>
      <c r="I1151" s="2"/>
      <c r="J1151" s="1" t="s">
        <v>1937</v>
      </c>
      <c r="K1151" s="1">
        <v>200.0</v>
      </c>
      <c r="L1151" s="1"/>
      <c r="M1151" s="5">
        <v>119.73</v>
      </c>
      <c r="N1151" s="22">
        <f t="shared" si="1"/>
        <v>23946</v>
      </c>
      <c r="O1151" s="15" t="s">
        <v>3058</v>
      </c>
      <c r="P1151" s="15" t="s">
        <v>3059</v>
      </c>
    </row>
    <row r="1152" ht="15.75" customHeight="1">
      <c r="A1152" s="1" t="s">
        <v>3060</v>
      </c>
      <c r="B1152" s="2">
        <v>856.0</v>
      </c>
      <c r="C1152" s="1" t="s">
        <v>809</v>
      </c>
      <c r="D1152" s="1" t="s">
        <v>3061</v>
      </c>
      <c r="E1152" s="3">
        <v>45453.0</v>
      </c>
      <c r="F1152" s="1" t="s">
        <v>3</v>
      </c>
      <c r="G1152" s="4">
        <v>6.39106241E8</v>
      </c>
      <c r="H1152" s="1" t="s">
        <v>3062</v>
      </c>
      <c r="I1152" s="2"/>
      <c r="J1152" s="1" t="s">
        <v>623</v>
      </c>
      <c r="K1152" s="1">
        <v>200.0</v>
      </c>
      <c r="L1152" s="1"/>
      <c r="M1152" s="5">
        <v>123.42</v>
      </c>
      <c r="N1152" s="22">
        <f t="shared" si="1"/>
        <v>24684</v>
      </c>
      <c r="O1152" s="15" t="s">
        <v>3063</v>
      </c>
      <c r="P1152" s="15" t="s">
        <v>3064</v>
      </c>
    </row>
    <row r="1153" ht="15.75" customHeight="1">
      <c r="A1153" s="1" t="s">
        <v>2775</v>
      </c>
      <c r="B1153" s="2">
        <v>860.0</v>
      </c>
      <c r="C1153" s="1" t="s">
        <v>1264</v>
      </c>
      <c r="D1153" s="1" t="s">
        <v>2776</v>
      </c>
      <c r="E1153" s="3">
        <v>45461.0</v>
      </c>
      <c r="F1153" s="1" t="s">
        <v>3</v>
      </c>
      <c r="G1153" s="4">
        <v>6.39106241E8</v>
      </c>
      <c r="H1153" s="1" t="s">
        <v>3062</v>
      </c>
      <c r="I1153" s="2"/>
      <c r="J1153" s="1" t="s">
        <v>1270</v>
      </c>
      <c r="K1153" s="1">
        <v>1000.0</v>
      </c>
      <c r="L1153" s="1"/>
      <c r="M1153" s="5">
        <v>115.0</v>
      </c>
      <c r="N1153" s="22">
        <f t="shared" si="1"/>
        <v>115000</v>
      </c>
      <c r="O1153" s="15" t="s">
        <v>3065</v>
      </c>
      <c r="P1153" s="15" t="s">
        <v>3066</v>
      </c>
    </row>
    <row r="1154" ht="15.75" customHeight="1">
      <c r="A1154" s="1" t="s">
        <v>3067</v>
      </c>
      <c r="B1154" s="2">
        <v>869.0</v>
      </c>
      <c r="C1154" s="6" t="s">
        <v>3068</v>
      </c>
      <c r="D1154" s="1" t="s">
        <v>3069</v>
      </c>
      <c r="E1154" s="3">
        <v>45471.0</v>
      </c>
      <c r="F1154" s="1" t="s">
        <v>3</v>
      </c>
      <c r="G1154" s="4">
        <v>6.39140241E8</v>
      </c>
      <c r="H1154" s="1" t="s">
        <v>3070</v>
      </c>
      <c r="I1154" s="2"/>
      <c r="J1154" s="1" t="s">
        <v>3071</v>
      </c>
      <c r="K1154" s="1">
        <v>20.0</v>
      </c>
      <c r="L1154" s="1"/>
      <c r="M1154" s="5">
        <v>140.0</v>
      </c>
      <c r="N1154" s="22">
        <f t="shared" si="1"/>
        <v>2800</v>
      </c>
      <c r="O1154" s="15" t="s">
        <v>3072</v>
      </c>
      <c r="P1154" s="15" t="s">
        <v>3073</v>
      </c>
    </row>
    <row r="1155" ht="15.75" customHeight="1">
      <c r="A1155" s="1" t="s">
        <v>3074</v>
      </c>
      <c r="B1155" s="2">
        <v>874.0</v>
      </c>
      <c r="C1155" s="1" t="s">
        <v>1264</v>
      </c>
      <c r="D1155" s="1" t="s">
        <v>3075</v>
      </c>
      <c r="E1155" s="3">
        <v>45477.0</v>
      </c>
      <c r="F1155" s="1" t="s">
        <v>3</v>
      </c>
      <c r="G1155" s="4">
        <v>6.39141241E8</v>
      </c>
      <c r="H1155" s="1" t="s">
        <v>3076</v>
      </c>
      <c r="I1155" s="2"/>
      <c r="J1155" s="1" t="s">
        <v>623</v>
      </c>
      <c r="K1155" s="1">
        <v>14.0</v>
      </c>
      <c r="L1155" s="1"/>
      <c r="M1155" s="5">
        <v>120.24</v>
      </c>
      <c r="N1155" s="22">
        <f t="shared" si="1"/>
        <v>1683.36</v>
      </c>
    </row>
    <row r="1156" ht="15.75" customHeight="1">
      <c r="A1156" s="1" t="s">
        <v>3077</v>
      </c>
      <c r="B1156" s="2">
        <v>866.0</v>
      </c>
      <c r="C1156" s="1" t="s">
        <v>1264</v>
      </c>
      <c r="D1156" s="1" t="s">
        <v>3078</v>
      </c>
      <c r="E1156" s="3">
        <v>45469.0</v>
      </c>
      <c r="F1156" s="1" t="s">
        <v>3</v>
      </c>
      <c r="G1156" s="4">
        <v>6.40134241E8</v>
      </c>
      <c r="H1156" s="1" t="s">
        <v>3079</v>
      </c>
      <c r="I1156" s="2"/>
      <c r="J1156" s="1" t="s">
        <v>531</v>
      </c>
      <c r="K1156" s="1">
        <v>3.0</v>
      </c>
      <c r="L1156" s="1"/>
      <c r="M1156" s="5">
        <v>344.02</v>
      </c>
      <c r="N1156" s="22">
        <f t="shared" si="1"/>
        <v>1032.06</v>
      </c>
    </row>
    <row r="1157" ht="15.75" customHeight="1">
      <c r="A1157" s="1" t="s">
        <v>3080</v>
      </c>
      <c r="B1157" s="2">
        <v>1018.0</v>
      </c>
      <c r="C1157" s="1" t="s">
        <v>50</v>
      </c>
      <c r="D1157" s="1" t="s">
        <v>3081</v>
      </c>
      <c r="E1157" s="3">
        <v>45708.0</v>
      </c>
      <c r="F1157" s="1" t="s">
        <v>3</v>
      </c>
      <c r="G1157" s="4">
        <v>6.41026251E8</v>
      </c>
      <c r="H1157" s="1" t="s">
        <v>3082</v>
      </c>
      <c r="I1157" s="2"/>
      <c r="J1157" s="1" t="s">
        <v>3083</v>
      </c>
      <c r="K1157" s="1">
        <v>100.0</v>
      </c>
      <c r="L1157" s="1"/>
      <c r="M1157" s="5">
        <v>170.0</v>
      </c>
      <c r="N1157" s="22">
        <f t="shared" si="1"/>
        <v>17000</v>
      </c>
      <c r="O1157" s="15" t="s">
        <v>3084</v>
      </c>
      <c r="P1157" s="15" t="s">
        <v>3085</v>
      </c>
    </row>
    <row r="1158" ht="15.75" customHeight="1">
      <c r="A1158" s="1" t="s">
        <v>3086</v>
      </c>
      <c r="B1158" s="2">
        <v>1094.0</v>
      </c>
      <c r="C1158" s="1" t="s">
        <v>432</v>
      </c>
      <c r="D1158" s="1" t="s">
        <v>3087</v>
      </c>
      <c r="E1158" s="3">
        <v>45862.0</v>
      </c>
      <c r="F1158" s="1" t="s">
        <v>3</v>
      </c>
      <c r="G1158" s="4">
        <v>6.41026251E8</v>
      </c>
      <c r="H1158" s="1" t="s">
        <v>3082</v>
      </c>
      <c r="I1158" s="2"/>
      <c r="J1158" s="1" t="s">
        <v>3083</v>
      </c>
      <c r="K1158" s="1">
        <v>100.0</v>
      </c>
      <c r="L1158" s="1"/>
      <c r="M1158" s="5">
        <v>166.93</v>
      </c>
      <c r="N1158" s="22">
        <f t="shared" si="1"/>
        <v>16693</v>
      </c>
      <c r="O1158" s="15" t="s">
        <v>3088</v>
      </c>
      <c r="P1158" s="15" t="s">
        <v>3089</v>
      </c>
    </row>
    <row r="1159" ht="15.75" customHeight="1">
      <c r="A1159" s="1" t="s">
        <v>3090</v>
      </c>
      <c r="B1159" s="2">
        <v>937.0</v>
      </c>
      <c r="C1159" s="1" t="s">
        <v>432</v>
      </c>
      <c r="D1159" s="1" t="s">
        <v>3091</v>
      </c>
      <c r="E1159" s="3">
        <v>45575.0</v>
      </c>
      <c r="F1159" s="1" t="s">
        <v>3</v>
      </c>
      <c r="G1159" s="4">
        <v>6.41191241E8</v>
      </c>
      <c r="H1159" s="1" t="s">
        <v>3092</v>
      </c>
      <c r="I1159" s="2"/>
      <c r="J1159" s="1" t="s">
        <v>3093</v>
      </c>
      <c r="K1159" s="1">
        <v>300.0</v>
      </c>
      <c r="L1159" s="1"/>
      <c r="M1159" s="5">
        <v>101.18</v>
      </c>
      <c r="N1159" s="22">
        <f t="shared" si="1"/>
        <v>30354</v>
      </c>
    </row>
    <row r="1160" ht="15.75" customHeight="1">
      <c r="A1160" s="16" t="s">
        <v>3094</v>
      </c>
      <c r="B1160" s="34">
        <v>984.0</v>
      </c>
      <c r="C1160" s="16" t="s">
        <v>432</v>
      </c>
      <c r="D1160" s="16" t="s">
        <v>3095</v>
      </c>
      <c r="E1160" s="18">
        <v>45688.0</v>
      </c>
      <c r="F1160" s="16" t="s">
        <v>3</v>
      </c>
      <c r="G1160" s="19">
        <v>6.41230241E8</v>
      </c>
      <c r="H1160" s="16" t="s">
        <v>3096</v>
      </c>
      <c r="I1160" s="34"/>
      <c r="J1160" s="16" t="s">
        <v>3083</v>
      </c>
      <c r="K1160" s="1">
        <v>300.0</v>
      </c>
      <c r="L1160" s="1"/>
      <c r="M1160" s="5">
        <v>101.18</v>
      </c>
      <c r="N1160" s="22">
        <f t="shared" si="1"/>
        <v>30354</v>
      </c>
    </row>
    <row r="1161" ht="15.75" hidden="1" customHeight="1">
      <c r="A1161" s="1" t="s">
        <v>3097</v>
      </c>
      <c r="B1161" s="2">
        <v>1025.0</v>
      </c>
      <c r="C1161" s="1" t="s">
        <v>399</v>
      </c>
      <c r="D1161" s="1" t="s">
        <v>3098</v>
      </c>
      <c r="E1161" s="3">
        <v>45716.0</v>
      </c>
      <c r="F1161" s="1" t="s">
        <v>3</v>
      </c>
      <c r="G1161" s="4">
        <v>6.41230241E8</v>
      </c>
      <c r="H1161" s="1" t="s">
        <v>3096</v>
      </c>
      <c r="I1161" s="2"/>
      <c r="J1161" s="1" t="s">
        <v>3083</v>
      </c>
      <c r="K1161" s="1">
        <v>500.0</v>
      </c>
      <c r="L1161" s="1"/>
      <c r="M1161" s="5">
        <v>118.72</v>
      </c>
    </row>
    <row r="1162" ht="15.75" hidden="1" customHeight="1">
      <c r="A1162" s="1" t="s">
        <v>3099</v>
      </c>
      <c r="B1162" s="2">
        <v>1080.0</v>
      </c>
      <c r="C1162" s="1" t="s">
        <v>432</v>
      </c>
      <c r="D1162" s="1" t="s">
        <v>3100</v>
      </c>
      <c r="E1162" s="3">
        <v>45860.0</v>
      </c>
      <c r="F1162" s="1" t="s">
        <v>3</v>
      </c>
      <c r="G1162" s="4">
        <v>6.41230241E8</v>
      </c>
      <c r="H1162" s="1" t="s">
        <v>3096</v>
      </c>
      <c r="I1162" s="2"/>
      <c r="J1162" s="1" t="s">
        <v>3083</v>
      </c>
      <c r="K1162" s="1">
        <v>300.0</v>
      </c>
      <c r="L1162" s="1"/>
      <c r="M1162" s="5">
        <v>101.18</v>
      </c>
    </row>
    <row r="1163" ht="15.75" hidden="1" customHeight="1">
      <c r="A1163" s="1" t="s">
        <v>3101</v>
      </c>
      <c r="B1163" s="2">
        <v>1041.0</v>
      </c>
      <c r="C1163" s="1" t="s">
        <v>126</v>
      </c>
      <c r="D1163" s="1" t="s">
        <v>3102</v>
      </c>
      <c r="E1163" s="3">
        <v>45736.0</v>
      </c>
      <c r="F1163" s="1" t="s">
        <v>3</v>
      </c>
      <c r="G1163" s="4">
        <v>6.42054251E8</v>
      </c>
      <c r="H1163" s="1" t="s">
        <v>3103</v>
      </c>
      <c r="I1163" s="2"/>
      <c r="J1163" s="1" t="s">
        <v>3104</v>
      </c>
      <c r="K1163" s="1">
        <v>1.0</v>
      </c>
      <c r="L1163" s="1"/>
      <c r="M1163" s="5">
        <v>196.37</v>
      </c>
    </row>
    <row r="1164" ht="15.75" hidden="1" customHeight="1">
      <c r="A1164" s="1" t="s">
        <v>3101</v>
      </c>
      <c r="B1164" s="2">
        <v>1041.0</v>
      </c>
      <c r="C1164" s="1" t="s">
        <v>126</v>
      </c>
      <c r="D1164" s="1" t="s">
        <v>3102</v>
      </c>
      <c r="E1164" s="3">
        <v>45736.0</v>
      </c>
      <c r="F1164" s="1" t="s">
        <v>3</v>
      </c>
      <c r="G1164" s="4">
        <v>6.42054251E8</v>
      </c>
      <c r="H1164" s="1" t="s">
        <v>3103</v>
      </c>
      <c r="I1164" s="2"/>
      <c r="J1164" s="1" t="s">
        <v>3104</v>
      </c>
      <c r="K1164" s="1">
        <v>5.0</v>
      </c>
      <c r="L1164" s="1"/>
      <c r="M1164" s="5">
        <v>178.34</v>
      </c>
    </row>
    <row r="1165" ht="15.75" hidden="1" customHeight="1">
      <c r="A1165" s="1" t="s">
        <v>3105</v>
      </c>
      <c r="B1165" s="2">
        <v>953.0</v>
      </c>
      <c r="C1165" s="1" t="s">
        <v>122</v>
      </c>
      <c r="D1165" s="1" t="s">
        <v>3106</v>
      </c>
      <c r="E1165" s="3">
        <v>45596.0</v>
      </c>
      <c r="F1165" s="1" t="s">
        <v>3</v>
      </c>
      <c r="G1165" s="4">
        <v>6.42205241E8</v>
      </c>
      <c r="H1165" s="1" t="s">
        <v>3107</v>
      </c>
      <c r="I1165" s="2"/>
      <c r="J1165" s="1" t="s">
        <v>3108</v>
      </c>
      <c r="K1165" s="1">
        <v>10.0</v>
      </c>
      <c r="L1165" s="1"/>
      <c r="M1165" s="5">
        <v>158.63</v>
      </c>
    </row>
    <row r="1166" ht="15.75" hidden="1" customHeight="1">
      <c r="A1166" s="1" t="s">
        <v>3109</v>
      </c>
      <c r="B1166" s="2">
        <v>973.0</v>
      </c>
      <c r="C1166" s="1" t="s">
        <v>126</v>
      </c>
      <c r="D1166" s="1" t="s">
        <v>3110</v>
      </c>
      <c r="E1166" s="3">
        <v>45632.0</v>
      </c>
      <c r="F1166" s="1" t="s">
        <v>3</v>
      </c>
      <c r="G1166" s="4">
        <v>6.42242241E8</v>
      </c>
      <c r="H1166" s="1" t="s">
        <v>3111</v>
      </c>
      <c r="I1166" s="2"/>
      <c r="J1166" s="1" t="s">
        <v>3104</v>
      </c>
      <c r="K1166" s="1">
        <v>5.0</v>
      </c>
      <c r="L1166" s="1"/>
      <c r="M1166" s="5">
        <v>178.34</v>
      </c>
    </row>
    <row r="1167" ht="15.75" hidden="1" customHeight="1">
      <c r="A1167" s="1" t="s">
        <v>3112</v>
      </c>
      <c r="B1167" s="2">
        <v>826.0</v>
      </c>
      <c r="C1167" s="1" t="s">
        <v>84</v>
      </c>
      <c r="D1167" s="1" t="s">
        <v>3113</v>
      </c>
      <c r="E1167" s="3">
        <v>45397.0</v>
      </c>
      <c r="F1167" s="1" t="s">
        <v>3</v>
      </c>
      <c r="G1167" s="4">
        <v>7.03044241E8</v>
      </c>
      <c r="H1167" s="1" t="s">
        <v>3114</v>
      </c>
      <c r="I1167" s="2"/>
      <c r="J1167" s="1" t="s">
        <v>3115</v>
      </c>
      <c r="K1167" s="1">
        <v>3009.05</v>
      </c>
      <c r="L1167" s="1"/>
      <c r="M1167" s="5">
        <v>15.95</v>
      </c>
    </row>
    <row r="1168" ht="15.75" hidden="1" customHeight="1">
      <c r="A1168" s="1" t="s">
        <v>3116</v>
      </c>
      <c r="B1168" s="2">
        <v>1056.0</v>
      </c>
      <c r="C1168" s="1" t="s">
        <v>422</v>
      </c>
      <c r="D1168" s="1" t="s">
        <v>3117</v>
      </c>
      <c r="E1168" s="3">
        <v>45792.0</v>
      </c>
      <c r="F1168" s="1" t="s">
        <v>3</v>
      </c>
      <c r="G1168" s="4">
        <v>7.05049251E8</v>
      </c>
      <c r="H1168" s="1" t="s">
        <v>3118</v>
      </c>
      <c r="I1168" s="2"/>
      <c r="J1168" s="1" t="s">
        <v>3119</v>
      </c>
      <c r="K1168" s="1">
        <v>18979.5</v>
      </c>
      <c r="L1168" s="1"/>
      <c r="M1168" s="5">
        <v>1.2</v>
      </c>
    </row>
    <row r="1169" ht="15.75" hidden="1" customHeight="1">
      <c r="A1169" s="1" t="s">
        <v>3120</v>
      </c>
      <c r="B1169" s="2">
        <v>842.0</v>
      </c>
      <c r="C1169" s="1" t="s">
        <v>422</v>
      </c>
      <c r="D1169" s="1" t="s">
        <v>3121</v>
      </c>
      <c r="E1169" s="3">
        <v>45434.0</v>
      </c>
      <c r="F1169" s="1" t="s">
        <v>3</v>
      </c>
      <c r="G1169" s="4">
        <v>7.05094241E8</v>
      </c>
      <c r="H1169" s="1" t="s">
        <v>3122</v>
      </c>
      <c r="I1169" s="2"/>
      <c r="J1169" s="1" t="s">
        <v>3119</v>
      </c>
      <c r="K1169" s="1">
        <v>18745.5</v>
      </c>
      <c r="L1169" s="1"/>
      <c r="M1169" s="5">
        <v>1.2</v>
      </c>
    </row>
    <row r="1170" ht="15.75" hidden="1" customHeight="1">
      <c r="A1170" s="1" t="s">
        <v>3123</v>
      </c>
      <c r="B1170" s="2">
        <v>670.0</v>
      </c>
      <c r="C1170" s="1" t="s">
        <v>422</v>
      </c>
      <c r="D1170" s="1" t="s">
        <v>3124</v>
      </c>
      <c r="E1170" s="3">
        <v>45166.0</v>
      </c>
      <c r="F1170" s="1" t="s">
        <v>3</v>
      </c>
      <c r="G1170" s="4">
        <v>7.05110231E8</v>
      </c>
      <c r="H1170" s="1" t="s">
        <v>3125</v>
      </c>
      <c r="I1170" s="2"/>
      <c r="J1170" s="1" t="s">
        <v>3119</v>
      </c>
      <c r="K1170" s="1">
        <v>18977.1</v>
      </c>
      <c r="L1170" s="1"/>
      <c r="M1170" s="5">
        <v>0.95</v>
      </c>
    </row>
    <row r="1171" ht="15.75" hidden="1" customHeight="1">
      <c r="A1171" s="1" t="s">
        <v>3126</v>
      </c>
      <c r="B1171" s="2">
        <v>1125.0</v>
      </c>
      <c r="C1171" s="1" t="s">
        <v>422</v>
      </c>
      <c r="D1171" s="1" t="s">
        <v>3127</v>
      </c>
      <c r="E1171" s="3">
        <v>45904.0</v>
      </c>
      <c r="G1171" s="4">
        <v>7.05130251E8</v>
      </c>
      <c r="H1171" s="1" t="s">
        <v>3128</v>
      </c>
      <c r="I1171" s="2"/>
      <c r="J1171" s="1" t="s">
        <v>3119</v>
      </c>
      <c r="K1171" s="1">
        <v>19031.35</v>
      </c>
      <c r="L1171" s="1"/>
      <c r="M1171" s="5">
        <v>1.2</v>
      </c>
    </row>
    <row r="1172" ht="15.75" hidden="1" customHeight="1">
      <c r="A1172" s="1" t="s">
        <v>3129</v>
      </c>
      <c r="B1172" s="2">
        <v>931.0</v>
      </c>
      <c r="C1172" s="1" t="s">
        <v>422</v>
      </c>
      <c r="D1172" s="1" t="s">
        <v>3130</v>
      </c>
      <c r="E1172" s="3">
        <v>45574.0</v>
      </c>
      <c r="F1172" s="1" t="s">
        <v>3</v>
      </c>
      <c r="G1172" s="4">
        <v>7.05179241E8</v>
      </c>
      <c r="H1172" s="1" t="s">
        <v>3131</v>
      </c>
      <c r="I1172" s="2"/>
      <c r="J1172" s="1" t="s">
        <v>3119</v>
      </c>
      <c r="K1172" s="1">
        <v>18703.5</v>
      </c>
      <c r="L1172" s="1"/>
      <c r="M1172" s="5">
        <v>1.2</v>
      </c>
    </row>
    <row r="1173" ht="15.75" hidden="1" customHeight="1">
      <c r="A1173" s="1" t="s">
        <v>3132</v>
      </c>
      <c r="B1173" s="2">
        <v>1010.0</v>
      </c>
      <c r="C1173" s="1" t="s">
        <v>422</v>
      </c>
      <c r="D1173" s="1" t="s">
        <v>3133</v>
      </c>
      <c r="E1173" s="3">
        <v>45708.0</v>
      </c>
      <c r="F1173" s="1" t="s">
        <v>3</v>
      </c>
      <c r="G1173" s="4">
        <v>7.05233241E8</v>
      </c>
      <c r="H1173" s="1" t="s">
        <v>3134</v>
      </c>
      <c r="I1173" s="2"/>
      <c r="J1173" s="1" t="s">
        <v>3119</v>
      </c>
      <c r="K1173" s="1">
        <v>18942.0</v>
      </c>
      <c r="L1173" s="1"/>
      <c r="M1173" s="5">
        <v>1.2</v>
      </c>
    </row>
    <row r="1174" ht="15.75" hidden="1" customHeight="1">
      <c r="A1174" s="1" t="s">
        <v>3135</v>
      </c>
      <c r="B1174" s="2">
        <v>1043.0</v>
      </c>
      <c r="C1174" s="1" t="s">
        <v>286</v>
      </c>
      <c r="D1174" s="1" t="s">
        <v>3056</v>
      </c>
      <c r="E1174" s="3">
        <v>45743.0</v>
      </c>
      <c r="F1174" s="1" t="s">
        <v>3</v>
      </c>
      <c r="G1174" s="4">
        <v>7.09001251E8</v>
      </c>
      <c r="H1174" s="1" t="s">
        <v>3136</v>
      </c>
      <c r="I1174" s="2"/>
      <c r="J1174" s="1" t="s">
        <v>3137</v>
      </c>
      <c r="K1174" s="1">
        <v>888.0</v>
      </c>
      <c r="L1174" s="1"/>
      <c r="M1174" s="5">
        <v>5.43</v>
      </c>
    </row>
    <row r="1175" ht="15.75" hidden="1" customHeight="1">
      <c r="A1175" s="1" t="s">
        <v>3138</v>
      </c>
      <c r="B1175" s="2">
        <v>921.0</v>
      </c>
      <c r="C1175" s="1" t="s">
        <v>286</v>
      </c>
      <c r="D1175" s="1" t="s">
        <v>3139</v>
      </c>
      <c r="E1175" s="3">
        <v>45552.0</v>
      </c>
      <c r="F1175" s="1" t="s">
        <v>3</v>
      </c>
      <c r="G1175" s="4">
        <v>7.09187241E8</v>
      </c>
      <c r="H1175" s="1" t="s">
        <v>3140</v>
      </c>
      <c r="I1175" s="2"/>
      <c r="J1175" s="1" t="s">
        <v>3137</v>
      </c>
      <c r="K1175" s="1">
        <v>885.5</v>
      </c>
      <c r="L1175" s="1"/>
      <c r="M1175" s="5">
        <v>6.2</v>
      </c>
    </row>
    <row r="1176" ht="15.75" hidden="1" customHeight="1">
      <c r="A1176" s="1" t="s">
        <v>3135</v>
      </c>
      <c r="B1176" s="2">
        <v>1043.0</v>
      </c>
      <c r="C1176" s="1" t="s">
        <v>286</v>
      </c>
      <c r="D1176" s="1" t="s">
        <v>3056</v>
      </c>
      <c r="E1176" s="3">
        <v>45743.0</v>
      </c>
      <c r="F1176" s="1" t="s">
        <v>3</v>
      </c>
      <c r="G1176" s="4">
        <v>7.22002251E8</v>
      </c>
      <c r="H1176" s="1" t="s">
        <v>3141</v>
      </c>
      <c r="I1176" s="2"/>
      <c r="J1176" s="1" t="s">
        <v>3142</v>
      </c>
      <c r="K1176" s="1">
        <v>1774.2</v>
      </c>
      <c r="L1176" s="1"/>
      <c r="M1176" s="5">
        <v>8.46</v>
      </c>
    </row>
    <row r="1177" ht="15.75" hidden="1" customHeight="1">
      <c r="A1177" s="1" t="s">
        <v>3143</v>
      </c>
      <c r="B1177" s="2">
        <v>1045.0</v>
      </c>
      <c r="C1177" s="1" t="s">
        <v>286</v>
      </c>
      <c r="D1177" s="1" t="s">
        <v>3144</v>
      </c>
      <c r="E1177" s="3">
        <v>45743.0</v>
      </c>
      <c r="F1177" s="1" t="s">
        <v>3</v>
      </c>
      <c r="G1177" s="4">
        <v>7.22041251E8</v>
      </c>
      <c r="H1177" s="1" t="s">
        <v>3145</v>
      </c>
      <c r="I1177" s="2"/>
      <c r="J1177" s="1" t="s">
        <v>3142</v>
      </c>
      <c r="K1177" s="1">
        <v>1777.8</v>
      </c>
      <c r="L1177" s="1"/>
      <c r="M1177" s="5">
        <v>8.46</v>
      </c>
    </row>
    <row r="1178" ht="15.75" hidden="1" customHeight="1">
      <c r="A1178" s="1" t="s">
        <v>3146</v>
      </c>
      <c r="B1178" s="2">
        <v>746.0</v>
      </c>
      <c r="C1178" s="1" t="s">
        <v>286</v>
      </c>
      <c r="D1178" s="1" t="s">
        <v>3147</v>
      </c>
      <c r="E1178" s="3">
        <v>45299.0</v>
      </c>
      <c r="F1178" s="1" t="s">
        <v>3</v>
      </c>
      <c r="G1178" s="4">
        <v>7.22164231E8</v>
      </c>
      <c r="H1178" s="1" t="s">
        <v>3148</v>
      </c>
      <c r="I1178" s="2"/>
      <c r="J1178" s="1" t="s">
        <v>3142</v>
      </c>
      <c r="K1178" s="1">
        <v>5010.35</v>
      </c>
      <c r="L1178" s="1"/>
      <c r="M1178" s="5">
        <v>6.08</v>
      </c>
    </row>
    <row r="1179" ht="15.75" hidden="1" customHeight="1">
      <c r="A1179" s="1" t="s">
        <v>3149</v>
      </c>
      <c r="B1179" s="2">
        <v>799.0</v>
      </c>
      <c r="C1179" s="1" t="s">
        <v>1264</v>
      </c>
      <c r="D1179" s="1" t="s">
        <v>3150</v>
      </c>
      <c r="E1179" s="3">
        <v>45358.0</v>
      </c>
      <c r="F1179" s="1" t="s">
        <v>3</v>
      </c>
      <c r="G1179" s="4">
        <v>7.26035241E8</v>
      </c>
      <c r="H1179" s="1" t="s">
        <v>3151</v>
      </c>
      <c r="I1179" s="2"/>
      <c r="J1179" s="1" t="s">
        <v>3152</v>
      </c>
      <c r="K1179" s="1">
        <v>2219.7</v>
      </c>
      <c r="L1179" s="1"/>
      <c r="M1179" s="5">
        <v>8.4</v>
      </c>
    </row>
    <row r="1180" ht="15.75" hidden="1" customHeight="1">
      <c r="A1180" s="1" t="s">
        <v>3074</v>
      </c>
      <c r="B1180" s="2">
        <v>874.0</v>
      </c>
      <c r="C1180" s="1" t="s">
        <v>1264</v>
      </c>
      <c r="D1180" s="1" t="s">
        <v>3075</v>
      </c>
      <c r="E1180" s="3">
        <v>45477.0</v>
      </c>
      <c r="F1180" s="1" t="s">
        <v>3</v>
      </c>
      <c r="G1180" s="4">
        <v>7.26095241E8</v>
      </c>
      <c r="H1180" s="1" t="s">
        <v>3153</v>
      </c>
      <c r="I1180" s="2"/>
      <c r="J1180" s="1" t="s">
        <v>3152</v>
      </c>
      <c r="K1180" s="1">
        <v>1110.3</v>
      </c>
      <c r="L1180" s="1"/>
      <c r="M1180" s="5">
        <v>9.54</v>
      </c>
    </row>
    <row r="1181" ht="15.75" hidden="1" customHeight="1">
      <c r="A1181" s="1" t="s">
        <v>3154</v>
      </c>
      <c r="B1181" s="2">
        <v>745.0</v>
      </c>
      <c r="C1181" s="1" t="s">
        <v>1264</v>
      </c>
      <c r="D1181" s="1" t="s">
        <v>3155</v>
      </c>
      <c r="E1181" s="3">
        <v>45299.0</v>
      </c>
      <c r="F1181" s="1" t="s">
        <v>3</v>
      </c>
      <c r="G1181" s="4">
        <v>7.26153231E8</v>
      </c>
      <c r="H1181" s="1" t="s">
        <v>3156</v>
      </c>
      <c r="I1181" s="2"/>
      <c r="J1181" s="1" t="s">
        <v>3152</v>
      </c>
      <c r="K1181" s="1">
        <v>1106.25</v>
      </c>
      <c r="L1181" s="1"/>
      <c r="M1181" s="5">
        <v>9.29</v>
      </c>
    </row>
    <row r="1182" ht="15.75" hidden="1" customHeight="1">
      <c r="A1182" s="1" t="s">
        <v>2993</v>
      </c>
      <c r="B1182" s="2">
        <v>966.0</v>
      </c>
      <c r="C1182" s="1" t="s">
        <v>1264</v>
      </c>
      <c r="D1182" s="1" t="s">
        <v>2994</v>
      </c>
      <c r="E1182" s="3">
        <v>45617.0</v>
      </c>
      <c r="F1182" s="1" t="s">
        <v>3</v>
      </c>
      <c r="G1182" s="4">
        <v>7.26210241E8</v>
      </c>
      <c r="H1182" s="1" t="s">
        <v>3157</v>
      </c>
      <c r="I1182" s="2"/>
      <c r="J1182" s="1" t="s">
        <v>3158</v>
      </c>
      <c r="K1182" s="1">
        <v>2214.45</v>
      </c>
      <c r="L1182" s="1"/>
      <c r="M1182" s="5">
        <v>8.63</v>
      </c>
    </row>
    <row r="1183" ht="15.75" hidden="1" customHeight="1">
      <c r="A1183" s="1" t="s">
        <v>3159</v>
      </c>
      <c r="B1183" s="2">
        <v>809.0</v>
      </c>
      <c r="C1183" s="1" t="s">
        <v>286</v>
      </c>
      <c r="D1183" s="1" t="s">
        <v>3160</v>
      </c>
      <c r="E1183" s="3">
        <v>45377.0</v>
      </c>
      <c r="F1183" s="1" t="s">
        <v>3</v>
      </c>
      <c r="G1183" s="4">
        <v>7.29045241E8</v>
      </c>
      <c r="H1183" s="1" t="s">
        <v>3161</v>
      </c>
      <c r="I1183" s="2"/>
      <c r="J1183" s="1" t="s">
        <v>3152</v>
      </c>
      <c r="K1183" s="1">
        <v>2020.45</v>
      </c>
      <c r="L1183" s="1"/>
      <c r="M1183" s="5">
        <v>6.3</v>
      </c>
    </row>
    <row r="1184" ht="15.75" hidden="1" customHeight="1">
      <c r="A1184" s="1" t="s">
        <v>3162</v>
      </c>
      <c r="B1184" s="2">
        <v>861.0</v>
      </c>
      <c r="C1184" s="1" t="s">
        <v>286</v>
      </c>
      <c r="D1184" s="1" t="s">
        <v>3163</v>
      </c>
      <c r="E1184" s="3">
        <v>45461.0</v>
      </c>
      <c r="F1184" s="1" t="s">
        <v>3</v>
      </c>
      <c r="G1184" s="4">
        <v>7.29115241E8</v>
      </c>
      <c r="H1184" s="1" t="s">
        <v>3164</v>
      </c>
      <c r="I1184" s="2"/>
      <c r="J1184" s="1" t="s">
        <v>3152</v>
      </c>
      <c r="K1184" s="1">
        <v>1988.05</v>
      </c>
      <c r="L1184" s="1"/>
      <c r="M1184" s="5">
        <v>6.3</v>
      </c>
    </row>
    <row r="1185" ht="15.75" hidden="1" customHeight="1">
      <c r="A1185" s="1" t="s">
        <v>3165</v>
      </c>
      <c r="B1185" s="2">
        <v>895.0</v>
      </c>
      <c r="C1185" s="1" t="s">
        <v>286</v>
      </c>
      <c r="D1185" s="1" t="s">
        <v>3166</v>
      </c>
      <c r="E1185" s="3">
        <v>45516.0</v>
      </c>
      <c r="F1185" s="1" t="s">
        <v>3</v>
      </c>
      <c r="G1185" s="4">
        <v>7.29155241E8</v>
      </c>
      <c r="H1185" s="1" t="s">
        <v>3167</v>
      </c>
      <c r="I1185" s="2"/>
      <c r="J1185" s="1" t="s">
        <v>3158</v>
      </c>
      <c r="K1185" s="1">
        <v>1998.23</v>
      </c>
      <c r="L1185" s="1"/>
      <c r="M1185" s="5">
        <v>6.3</v>
      </c>
    </row>
    <row r="1186" ht="15.75" hidden="1" customHeight="1">
      <c r="A1186" s="1" t="s">
        <v>3168</v>
      </c>
      <c r="B1186" s="2">
        <v>902.0</v>
      </c>
      <c r="C1186" s="1" t="s">
        <v>286</v>
      </c>
      <c r="D1186" s="1" t="s">
        <v>3169</v>
      </c>
      <c r="E1186" s="3">
        <v>45533.0</v>
      </c>
      <c r="F1186" s="1" t="s">
        <v>3</v>
      </c>
      <c r="G1186" s="4">
        <v>7.29163241E8</v>
      </c>
      <c r="H1186" s="1" t="s">
        <v>3170</v>
      </c>
      <c r="I1186" s="2"/>
      <c r="J1186" s="1" t="s">
        <v>3152</v>
      </c>
      <c r="K1186" s="1">
        <v>883.75</v>
      </c>
      <c r="L1186" s="1"/>
      <c r="M1186" s="5">
        <v>6.3</v>
      </c>
    </row>
    <row r="1187" ht="15.75" hidden="1" customHeight="1">
      <c r="A1187" s="1" t="s">
        <v>3171</v>
      </c>
      <c r="B1187" s="2">
        <v>1011.0</v>
      </c>
      <c r="C1187" s="1" t="s">
        <v>286</v>
      </c>
      <c r="D1187" s="1" t="s">
        <v>3172</v>
      </c>
      <c r="E1187" s="3">
        <v>45708.0</v>
      </c>
      <c r="F1187" s="1" t="s">
        <v>3</v>
      </c>
      <c r="G1187" s="4">
        <v>7.29246241E8</v>
      </c>
      <c r="H1187" s="1" t="s">
        <v>3173</v>
      </c>
      <c r="I1187" s="2"/>
      <c r="J1187" s="1" t="s">
        <v>3152</v>
      </c>
      <c r="K1187" s="1">
        <v>2212.15</v>
      </c>
      <c r="L1187" s="1"/>
      <c r="M1187" s="5">
        <v>6.3</v>
      </c>
    </row>
    <row r="1188" ht="15.75" hidden="1" customHeight="1">
      <c r="A1188" s="1" t="s">
        <v>3174</v>
      </c>
      <c r="B1188" s="2">
        <v>1012.0</v>
      </c>
      <c r="C1188" s="1" t="s">
        <v>286</v>
      </c>
      <c r="D1188" s="1" t="s">
        <v>3175</v>
      </c>
      <c r="E1188" s="3">
        <v>45708.0</v>
      </c>
      <c r="F1188" s="1" t="s">
        <v>3</v>
      </c>
      <c r="G1188" s="4">
        <v>7.29246241E8</v>
      </c>
      <c r="H1188" s="1" t="s">
        <v>3173</v>
      </c>
      <c r="I1188" s="2"/>
      <c r="J1188" s="1" t="s">
        <v>3152</v>
      </c>
      <c r="K1188" s="1">
        <v>1108.95</v>
      </c>
      <c r="L1188" s="1"/>
      <c r="M1188" s="5">
        <v>6.3</v>
      </c>
    </row>
    <row r="1189" ht="15.75" hidden="1" customHeight="1">
      <c r="A1189" s="1" t="s">
        <v>1923</v>
      </c>
      <c r="B1189" s="2">
        <v>544.0</v>
      </c>
      <c r="C1189" s="1" t="s">
        <v>491</v>
      </c>
      <c r="D1189" s="1" t="s">
        <v>1924</v>
      </c>
      <c r="E1189" s="3">
        <v>45027.0</v>
      </c>
      <c r="F1189" s="1" t="s">
        <v>3</v>
      </c>
      <c r="G1189" s="4">
        <v>8.01060231E8</v>
      </c>
      <c r="H1189" s="1" t="s">
        <v>3176</v>
      </c>
      <c r="I1189" s="2"/>
      <c r="J1189" s="1" t="s">
        <v>3177</v>
      </c>
      <c r="K1189" s="1">
        <v>10.0</v>
      </c>
      <c r="L1189" s="1"/>
      <c r="M1189" s="5">
        <v>98.73</v>
      </c>
    </row>
    <row r="1190" ht="15.75" hidden="1" customHeight="1">
      <c r="A1190" s="1" t="s">
        <v>3178</v>
      </c>
      <c r="B1190" s="2">
        <v>763.0</v>
      </c>
      <c r="C1190" s="1" t="s">
        <v>503</v>
      </c>
      <c r="D1190" s="1" t="s">
        <v>3179</v>
      </c>
      <c r="E1190" s="3">
        <v>45320.0</v>
      </c>
      <c r="F1190" s="1" t="s">
        <v>3</v>
      </c>
      <c r="G1190" s="4">
        <v>8.03005241E8</v>
      </c>
      <c r="H1190" s="1" t="s">
        <v>3180</v>
      </c>
      <c r="I1190" s="2"/>
      <c r="J1190" s="1" t="s">
        <v>3181</v>
      </c>
      <c r="K1190" s="1">
        <v>602.0</v>
      </c>
      <c r="L1190" s="1"/>
      <c r="M1190" s="5">
        <v>179.21</v>
      </c>
    </row>
    <row r="1191" ht="15.75" hidden="1" customHeight="1">
      <c r="A1191" s="1" t="s">
        <v>3182</v>
      </c>
      <c r="B1191" s="2">
        <v>992.0</v>
      </c>
      <c r="C1191" s="1" t="s">
        <v>503</v>
      </c>
      <c r="D1191" s="1" t="s">
        <v>3183</v>
      </c>
      <c r="E1191" s="3">
        <v>45698.0</v>
      </c>
      <c r="F1191" s="1" t="s">
        <v>3</v>
      </c>
      <c r="G1191" s="4">
        <v>8.03008251E8</v>
      </c>
      <c r="H1191" s="1" t="s">
        <v>3184</v>
      </c>
      <c r="I1191" s="2"/>
      <c r="J1191" s="1" t="s">
        <v>3181</v>
      </c>
      <c r="K1191" s="1">
        <v>900.0</v>
      </c>
      <c r="L1191" s="1"/>
      <c r="M1191" s="5">
        <v>179.21</v>
      </c>
    </row>
    <row r="1192" ht="15.75" hidden="1" customHeight="1">
      <c r="A1192" s="1" t="s">
        <v>3185</v>
      </c>
      <c r="B1192" s="2">
        <v>540.0</v>
      </c>
      <c r="C1192" s="1" t="s">
        <v>582</v>
      </c>
      <c r="D1192" s="1" t="s">
        <v>3186</v>
      </c>
      <c r="E1192" s="3">
        <v>45009.0</v>
      </c>
      <c r="F1192" s="1" t="s">
        <v>3</v>
      </c>
      <c r="G1192" s="4">
        <v>8.03054231E8</v>
      </c>
      <c r="H1192" s="1" t="s">
        <v>3187</v>
      </c>
      <c r="I1192" s="2"/>
      <c r="J1192" s="1" t="s">
        <v>124</v>
      </c>
      <c r="K1192" s="1">
        <v>700.0</v>
      </c>
      <c r="L1192" s="1"/>
      <c r="M1192" s="5">
        <v>179.21</v>
      </c>
    </row>
    <row r="1193" ht="15.75" hidden="1" customHeight="1">
      <c r="A1193" s="1" t="s">
        <v>3188</v>
      </c>
      <c r="B1193" s="2">
        <v>546.0</v>
      </c>
      <c r="C1193" s="1" t="s">
        <v>582</v>
      </c>
      <c r="D1193" s="1" t="s">
        <v>3189</v>
      </c>
      <c r="E1193" s="3">
        <v>45027.0</v>
      </c>
      <c r="F1193" s="1" t="s">
        <v>3</v>
      </c>
      <c r="G1193" s="4">
        <v>8.03054231E8</v>
      </c>
      <c r="H1193" s="1" t="s">
        <v>3187</v>
      </c>
      <c r="I1193" s="2"/>
      <c r="J1193" s="1" t="s">
        <v>124</v>
      </c>
      <c r="K1193" s="1">
        <v>2.0</v>
      </c>
      <c r="L1193" s="1"/>
      <c r="M1193" s="5">
        <v>179.21</v>
      </c>
    </row>
    <row r="1194" ht="15.75" hidden="1" customHeight="1">
      <c r="A1194" s="1" t="s">
        <v>3190</v>
      </c>
      <c r="B1194" s="2">
        <v>1057.0</v>
      </c>
      <c r="C1194" s="1" t="s">
        <v>582</v>
      </c>
      <c r="D1194" s="1" t="s">
        <v>3191</v>
      </c>
      <c r="E1194" s="3">
        <v>45792.0</v>
      </c>
      <c r="F1194" s="1" t="s">
        <v>3</v>
      </c>
      <c r="G1194" s="4">
        <v>8.03066251E8</v>
      </c>
      <c r="H1194" s="1" t="s">
        <v>3192</v>
      </c>
      <c r="I1194" s="2"/>
      <c r="J1194" s="1" t="s">
        <v>3193</v>
      </c>
      <c r="K1194" s="1">
        <v>1055.0</v>
      </c>
      <c r="L1194" s="1"/>
      <c r="M1194" s="5">
        <v>179.21</v>
      </c>
    </row>
    <row r="1195" ht="15.75" hidden="1" customHeight="1">
      <c r="A1195" s="1" t="s">
        <v>3194</v>
      </c>
      <c r="B1195" s="2">
        <v>1060.0</v>
      </c>
      <c r="C1195" s="1" t="s">
        <v>503</v>
      </c>
      <c r="D1195" s="1" t="s">
        <v>3195</v>
      </c>
      <c r="E1195" s="3">
        <v>45793.0</v>
      </c>
      <c r="F1195" s="1" t="s">
        <v>3</v>
      </c>
      <c r="G1195" s="4">
        <v>8.03066251E8</v>
      </c>
      <c r="H1195" s="1" t="s">
        <v>3192</v>
      </c>
      <c r="I1195" s="2"/>
      <c r="J1195" s="1" t="s">
        <v>3193</v>
      </c>
      <c r="K1195" s="1">
        <v>52.0</v>
      </c>
      <c r="L1195" s="1"/>
      <c r="M1195" s="5">
        <v>179.21</v>
      </c>
    </row>
    <row r="1196" ht="15.75" hidden="1" customHeight="1">
      <c r="A1196" s="1" t="s">
        <v>3196</v>
      </c>
      <c r="B1196" s="2">
        <v>1079.0</v>
      </c>
      <c r="C1196" s="1" t="s">
        <v>503</v>
      </c>
      <c r="D1196" s="1" t="s">
        <v>3197</v>
      </c>
      <c r="E1196" s="3">
        <v>45860.0</v>
      </c>
      <c r="F1196" s="1" t="s">
        <v>3</v>
      </c>
      <c r="G1196" s="4">
        <v>8.03092251E8</v>
      </c>
      <c r="H1196" s="1" t="s">
        <v>3198</v>
      </c>
      <c r="I1196" s="2"/>
      <c r="J1196" s="1" t="s">
        <v>3181</v>
      </c>
      <c r="K1196" s="1">
        <v>1000.0</v>
      </c>
      <c r="L1196" s="1"/>
      <c r="M1196" s="5">
        <v>179.21</v>
      </c>
    </row>
    <row r="1197" ht="15.75" hidden="1" customHeight="1">
      <c r="A1197" s="1" t="s">
        <v>3199</v>
      </c>
      <c r="B1197" s="2">
        <v>852.0</v>
      </c>
      <c r="C1197" s="1" t="s">
        <v>503</v>
      </c>
      <c r="D1197" s="1" t="s">
        <v>3200</v>
      </c>
      <c r="E1197" s="3">
        <v>45448.0</v>
      </c>
      <c r="F1197" s="1" t="s">
        <v>3</v>
      </c>
      <c r="G1197" s="4">
        <v>8.03117241E8</v>
      </c>
      <c r="H1197" s="1" t="s">
        <v>3201</v>
      </c>
      <c r="I1197" s="2"/>
      <c r="J1197" s="1" t="s">
        <v>3202</v>
      </c>
      <c r="K1197" s="1">
        <v>601.0</v>
      </c>
      <c r="L1197" s="1"/>
      <c r="M1197" s="5">
        <v>179.21</v>
      </c>
    </row>
    <row r="1198" ht="15.75" hidden="1" customHeight="1">
      <c r="A1198" s="1" t="s">
        <v>3203</v>
      </c>
      <c r="B1198" s="2">
        <v>672.0</v>
      </c>
      <c r="C1198" s="1" t="s">
        <v>503</v>
      </c>
      <c r="D1198" s="1" t="s">
        <v>3204</v>
      </c>
      <c r="E1198" s="3">
        <v>45166.0</v>
      </c>
      <c r="F1198" s="1" t="s">
        <v>3</v>
      </c>
      <c r="G1198" s="4">
        <v>8.03119231E8</v>
      </c>
      <c r="H1198" s="1" t="s">
        <v>3205</v>
      </c>
      <c r="I1198" s="2"/>
      <c r="J1198" s="1" t="s">
        <v>3181</v>
      </c>
      <c r="K1198" s="1">
        <v>652.0</v>
      </c>
      <c r="L1198" s="1"/>
      <c r="M1198" s="5">
        <v>179.21</v>
      </c>
    </row>
    <row r="1199" ht="15.75" hidden="1" customHeight="1">
      <c r="A1199" s="1" t="s">
        <v>3206</v>
      </c>
      <c r="B1199" s="2">
        <v>1151.0</v>
      </c>
      <c r="C1199" s="1" t="s">
        <v>503</v>
      </c>
      <c r="D1199" s="1" t="s">
        <v>3207</v>
      </c>
      <c r="E1199" s="3">
        <v>45939.0</v>
      </c>
      <c r="F1199" s="1" t="s">
        <v>3</v>
      </c>
      <c r="G1199" s="4">
        <v>8.03157251E8</v>
      </c>
      <c r="H1199" s="1" t="s">
        <v>3208</v>
      </c>
      <c r="I1199" s="2"/>
      <c r="J1199" s="1" t="s">
        <v>3209</v>
      </c>
      <c r="K1199" s="1">
        <v>1050.0</v>
      </c>
      <c r="L1199" s="1"/>
      <c r="M1199" s="5">
        <v>179.21</v>
      </c>
    </row>
    <row r="1200" ht="15.75" hidden="1" customHeight="1">
      <c r="A1200" s="1" t="s">
        <v>3210</v>
      </c>
      <c r="B1200" s="2">
        <v>918.0</v>
      </c>
      <c r="C1200" s="1" t="s">
        <v>503</v>
      </c>
      <c r="D1200" s="1" t="s">
        <v>3211</v>
      </c>
      <c r="E1200" s="3">
        <v>45546.0</v>
      </c>
      <c r="F1200" s="1" t="s">
        <v>3</v>
      </c>
      <c r="G1200" s="4">
        <v>8.03183241E8</v>
      </c>
      <c r="H1200" s="1" t="s">
        <v>3212</v>
      </c>
      <c r="I1200" s="2"/>
      <c r="J1200" s="1" t="s">
        <v>3181</v>
      </c>
      <c r="K1200" s="1">
        <v>600.0</v>
      </c>
      <c r="L1200" s="1"/>
      <c r="M1200" s="5">
        <v>179.21</v>
      </c>
    </row>
    <row r="1201" ht="15.75" hidden="1" customHeight="1">
      <c r="A1201" s="1" t="s">
        <v>3213</v>
      </c>
      <c r="B1201" s="2">
        <v>949.0</v>
      </c>
      <c r="C1201" s="1" t="s">
        <v>503</v>
      </c>
      <c r="D1201" s="1" t="s">
        <v>3214</v>
      </c>
      <c r="E1201" s="3">
        <v>45596.0</v>
      </c>
      <c r="F1201" s="1" t="s">
        <v>3</v>
      </c>
      <c r="G1201" s="4">
        <v>8.03208241E8</v>
      </c>
      <c r="H1201" s="1" t="s">
        <v>3215</v>
      </c>
      <c r="I1201" s="2"/>
      <c r="J1201" s="1" t="s">
        <v>3181</v>
      </c>
      <c r="K1201" s="1">
        <v>300.0</v>
      </c>
      <c r="L1201" s="1"/>
      <c r="M1201" s="5">
        <v>179.21</v>
      </c>
    </row>
    <row r="1202" ht="15.75" hidden="1" customHeight="1">
      <c r="A1202" s="1" t="s">
        <v>3216</v>
      </c>
      <c r="B1202" s="2">
        <v>971.0</v>
      </c>
      <c r="C1202" s="1" t="s">
        <v>503</v>
      </c>
      <c r="D1202" s="1" t="s">
        <v>3217</v>
      </c>
      <c r="E1202" s="3">
        <v>45624.0</v>
      </c>
      <c r="F1202" s="1" t="s">
        <v>3</v>
      </c>
      <c r="G1202" s="4">
        <v>8.03236241E8</v>
      </c>
      <c r="H1202" s="1" t="s">
        <v>3218</v>
      </c>
      <c r="I1202" s="2"/>
      <c r="J1202" s="1" t="s">
        <v>3181</v>
      </c>
      <c r="K1202" s="1">
        <v>480.0</v>
      </c>
      <c r="L1202" s="1"/>
      <c r="M1202" s="5">
        <v>179.21</v>
      </c>
    </row>
    <row r="1203" ht="15.75" hidden="1" customHeight="1">
      <c r="A1203" s="1" t="s">
        <v>1696</v>
      </c>
      <c r="B1203" s="2">
        <v>1048.0</v>
      </c>
      <c r="C1203" s="1" t="s">
        <v>1264</v>
      </c>
      <c r="D1203" s="1" t="s">
        <v>1697</v>
      </c>
      <c r="E1203" s="3">
        <v>45743.0</v>
      </c>
      <c r="F1203" s="1" t="s">
        <v>3</v>
      </c>
      <c r="G1203" s="4">
        <v>9.33064251E8</v>
      </c>
      <c r="H1203" s="1" t="s">
        <v>3219</v>
      </c>
      <c r="I1203" s="2"/>
      <c r="J1203" s="1" t="s">
        <v>3220</v>
      </c>
      <c r="K1203" s="1">
        <v>10.0</v>
      </c>
      <c r="L1203" s="1"/>
      <c r="M1203" s="5">
        <v>217.63</v>
      </c>
    </row>
    <row r="1204" ht="15.75" hidden="1" customHeight="1">
      <c r="A1204" s="1" t="s">
        <v>3221</v>
      </c>
      <c r="B1204" s="2">
        <v>924.0</v>
      </c>
      <c r="C1204" s="1" t="s">
        <v>1264</v>
      </c>
      <c r="D1204" s="1" t="s">
        <v>3222</v>
      </c>
      <c r="E1204" s="3">
        <v>45553.0</v>
      </c>
      <c r="F1204" s="1" t="s">
        <v>3</v>
      </c>
      <c r="G1204" s="4">
        <v>9.33189241E8</v>
      </c>
      <c r="H1204" s="1" t="s">
        <v>3223</v>
      </c>
      <c r="I1204" s="2"/>
      <c r="J1204" s="1" t="s">
        <v>3220</v>
      </c>
      <c r="K1204" s="1">
        <v>5.0</v>
      </c>
      <c r="L1204" s="1"/>
      <c r="M1204" s="5">
        <v>231.91</v>
      </c>
    </row>
    <row r="1205" ht="15.75" hidden="1" customHeight="1">
      <c r="A1205" s="1" t="s">
        <v>3224</v>
      </c>
      <c r="B1205" s="2">
        <v>761.0</v>
      </c>
      <c r="C1205" s="1" t="s">
        <v>973</v>
      </c>
      <c r="D1205" s="1" t="s">
        <v>3225</v>
      </c>
      <c r="E1205" s="3">
        <v>45313.0</v>
      </c>
      <c r="F1205" s="1" t="s">
        <v>3</v>
      </c>
      <c r="G1205" s="4">
        <v>1.207003241E9</v>
      </c>
      <c r="H1205" s="1" t="s">
        <v>3226</v>
      </c>
      <c r="I1205" s="2"/>
      <c r="J1205" s="1" t="s">
        <v>3227</v>
      </c>
      <c r="K1205" s="1">
        <v>150.0</v>
      </c>
      <c r="L1205" s="1"/>
      <c r="M1205" s="5">
        <v>48.77</v>
      </c>
    </row>
    <row r="1206" ht="15.75" hidden="1" customHeight="1">
      <c r="A1206" s="1" t="s">
        <v>3228</v>
      </c>
      <c r="B1206" s="2">
        <v>68.0</v>
      </c>
      <c r="C1206" s="1" t="s">
        <v>973</v>
      </c>
      <c r="D1206" s="1" t="s">
        <v>3229</v>
      </c>
      <c r="E1206" s="3">
        <v>44418.0</v>
      </c>
      <c r="F1206" s="1" t="s">
        <v>3</v>
      </c>
      <c r="G1206" s="4">
        <v>1.207017211E9</v>
      </c>
      <c r="I1206" s="2"/>
      <c r="J1206" s="1" t="s">
        <v>3227</v>
      </c>
      <c r="K1206" s="1">
        <v>2000.0</v>
      </c>
      <c r="L1206" s="1"/>
      <c r="M1206" s="5">
        <v>25.15</v>
      </c>
    </row>
    <row r="1207" ht="15.75" hidden="1" customHeight="1">
      <c r="A1207" s="1" t="s">
        <v>3230</v>
      </c>
      <c r="B1207" s="2">
        <v>777.0</v>
      </c>
      <c r="C1207" s="1" t="s">
        <v>973</v>
      </c>
      <c r="D1207" s="1" t="s">
        <v>3231</v>
      </c>
      <c r="E1207" s="3">
        <v>45335.0</v>
      </c>
      <c r="F1207" s="1" t="s">
        <v>3</v>
      </c>
      <c r="G1207" s="4">
        <v>1.207022241E9</v>
      </c>
      <c r="H1207" s="1" t="s">
        <v>3232</v>
      </c>
      <c r="I1207" s="2"/>
      <c r="J1207" s="1" t="s">
        <v>3227</v>
      </c>
      <c r="K1207" s="1">
        <v>150.0</v>
      </c>
      <c r="L1207" s="1"/>
      <c r="M1207" s="5">
        <v>48.77</v>
      </c>
    </row>
    <row r="1208" ht="15.75" hidden="1" customHeight="1">
      <c r="A1208" s="1" t="s">
        <v>3233</v>
      </c>
      <c r="B1208" s="2">
        <v>394.0</v>
      </c>
      <c r="C1208" s="1" t="s">
        <v>973</v>
      </c>
      <c r="D1208" s="1" t="s">
        <v>3234</v>
      </c>
      <c r="E1208" s="3">
        <v>44767.0</v>
      </c>
      <c r="F1208" s="1" t="s">
        <v>3</v>
      </c>
      <c r="G1208" s="4">
        <v>1.207028221E9</v>
      </c>
      <c r="H1208" s="1" t="s">
        <v>3235</v>
      </c>
      <c r="I1208" s="2"/>
      <c r="J1208" s="1" t="s">
        <v>3227</v>
      </c>
      <c r="K1208" s="1">
        <v>225.0</v>
      </c>
      <c r="L1208" s="1"/>
      <c r="M1208" s="5">
        <v>45.51</v>
      </c>
    </row>
    <row r="1209" ht="15.75" hidden="1" customHeight="1">
      <c r="A1209" s="1" t="s">
        <v>3236</v>
      </c>
      <c r="B1209" s="2">
        <v>558.0</v>
      </c>
      <c r="C1209" s="1" t="s">
        <v>973</v>
      </c>
      <c r="D1209" s="1" t="s">
        <v>3237</v>
      </c>
      <c r="E1209" s="3">
        <v>45036.0</v>
      </c>
      <c r="F1209" s="1" t="s">
        <v>3</v>
      </c>
      <c r="G1209" s="4">
        <v>1.207031231E9</v>
      </c>
      <c r="H1209" s="1" t="s">
        <v>3238</v>
      </c>
      <c r="I1209" s="2"/>
      <c r="J1209" s="1" t="s">
        <v>3227</v>
      </c>
      <c r="K1209" s="1">
        <v>475.0</v>
      </c>
      <c r="L1209" s="1"/>
      <c r="M1209" s="5">
        <v>48.77</v>
      </c>
    </row>
    <row r="1210" ht="15.75" hidden="1" customHeight="1">
      <c r="A1210" s="1" t="s">
        <v>3239</v>
      </c>
      <c r="B1210" s="2">
        <v>564.0</v>
      </c>
      <c r="C1210" s="1" t="s">
        <v>973</v>
      </c>
      <c r="D1210" s="1" t="s">
        <v>3240</v>
      </c>
      <c r="E1210" s="3">
        <v>45056.0</v>
      </c>
      <c r="F1210" s="1" t="s">
        <v>3</v>
      </c>
      <c r="G1210" s="4">
        <v>1.207031231E9</v>
      </c>
      <c r="H1210" s="1" t="s">
        <v>3238</v>
      </c>
      <c r="I1210" s="2"/>
      <c r="J1210" s="1" t="s">
        <v>3227</v>
      </c>
      <c r="K1210" s="1">
        <v>50.0</v>
      </c>
      <c r="L1210" s="1"/>
      <c r="M1210" s="5">
        <v>48.77</v>
      </c>
    </row>
    <row r="1211" ht="15.75" hidden="1" customHeight="1">
      <c r="A1211" s="1" t="s">
        <v>3241</v>
      </c>
      <c r="B1211" s="2">
        <v>615.0</v>
      </c>
      <c r="C1211" s="1" t="s">
        <v>973</v>
      </c>
      <c r="D1211" s="1" t="s">
        <v>3242</v>
      </c>
      <c r="E1211" s="1" t="s">
        <v>60</v>
      </c>
      <c r="F1211" s="1" t="s">
        <v>3</v>
      </c>
      <c r="G1211" s="4">
        <v>1.207031231E9</v>
      </c>
      <c r="H1211" s="1" t="s">
        <v>3238</v>
      </c>
      <c r="I1211" s="2"/>
      <c r="J1211" s="1" t="s">
        <v>3227</v>
      </c>
      <c r="K1211" s="1">
        <v>475.0</v>
      </c>
      <c r="L1211" s="1"/>
      <c r="M1211" s="5">
        <v>48.77</v>
      </c>
    </row>
    <row r="1212" ht="15.75" hidden="1" customHeight="1">
      <c r="A1212" s="1" t="s">
        <v>3243</v>
      </c>
      <c r="B1212" s="2">
        <v>1031.0</v>
      </c>
      <c r="C1212" s="1" t="s">
        <v>973</v>
      </c>
      <c r="D1212" s="1" t="s">
        <v>3244</v>
      </c>
      <c r="E1212" s="3">
        <v>45736.0</v>
      </c>
      <c r="F1212" s="1" t="s">
        <v>3</v>
      </c>
      <c r="G1212" s="4">
        <v>1.207043251E9</v>
      </c>
      <c r="H1212" s="1" t="s">
        <v>3245</v>
      </c>
      <c r="I1212" s="2"/>
      <c r="J1212" s="1" t="s">
        <v>3227</v>
      </c>
      <c r="K1212" s="1">
        <v>250.0</v>
      </c>
      <c r="L1212" s="1"/>
      <c r="M1212" s="5">
        <v>50.74</v>
      </c>
    </row>
    <row r="1213" ht="15.75" hidden="1" customHeight="1">
      <c r="A1213" s="1" t="s">
        <v>3246</v>
      </c>
      <c r="B1213" s="2">
        <v>817.0</v>
      </c>
      <c r="C1213" s="1" t="s">
        <v>973</v>
      </c>
      <c r="D1213" s="1" t="s">
        <v>3247</v>
      </c>
      <c r="E1213" s="3">
        <v>45390.0</v>
      </c>
      <c r="F1213" s="1" t="s">
        <v>3</v>
      </c>
      <c r="G1213" s="4">
        <v>1.207070241E9</v>
      </c>
      <c r="H1213" s="1" t="s">
        <v>3248</v>
      </c>
      <c r="I1213" s="2"/>
      <c r="J1213" s="1" t="s">
        <v>3227</v>
      </c>
      <c r="K1213" s="1">
        <v>300.0</v>
      </c>
      <c r="L1213" s="1"/>
      <c r="M1213" s="5">
        <v>48.77</v>
      </c>
    </row>
    <row r="1214" ht="15.75" hidden="1" customHeight="1">
      <c r="A1214" s="1" t="s">
        <v>3249</v>
      </c>
      <c r="B1214" s="2">
        <v>666.0</v>
      </c>
      <c r="C1214" s="1" t="s">
        <v>973</v>
      </c>
      <c r="D1214" s="1" t="s">
        <v>3250</v>
      </c>
      <c r="E1214" s="3">
        <v>45152.0</v>
      </c>
      <c r="F1214" s="1" t="s">
        <v>3</v>
      </c>
      <c r="G1214" s="4">
        <v>1.207116231E9</v>
      </c>
      <c r="H1214" s="1" t="s">
        <v>3251</v>
      </c>
      <c r="I1214" s="2"/>
      <c r="J1214" s="1" t="s">
        <v>3227</v>
      </c>
      <c r="K1214" s="1">
        <v>225.0</v>
      </c>
      <c r="L1214" s="1"/>
      <c r="M1214" s="5">
        <v>48.77</v>
      </c>
    </row>
    <row r="1215" ht="15.75" hidden="1" customHeight="1">
      <c r="A1215" s="1" t="s">
        <v>3252</v>
      </c>
      <c r="B1215" s="2">
        <v>1096.0</v>
      </c>
      <c r="C1215" s="1" t="s">
        <v>973</v>
      </c>
      <c r="D1215" s="1" t="s">
        <v>3253</v>
      </c>
      <c r="E1215" s="3">
        <v>45862.0</v>
      </c>
      <c r="F1215" s="1" t="s">
        <v>3</v>
      </c>
      <c r="G1215" s="4">
        <v>1.207122251E9</v>
      </c>
      <c r="H1215" s="1" t="s">
        <v>3254</v>
      </c>
      <c r="I1215" s="2"/>
      <c r="J1215" s="1" t="s">
        <v>3227</v>
      </c>
      <c r="K1215" s="1">
        <v>325.0</v>
      </c>
      <c r="L1215" s="1"/>
      <c r="M1215" s="5">
        <v>49.7</v>
      </c>
    </row>
    <row r="1216" ht="15.75" hidden="1" customHeight="1">
      <c r="A1216" s="1" t="s">
        <v>3255</v>
      </c>
      <c r="B1216" s="2">
        <v>687.0</v>
      </c>
      <c r="C1216" s="1" t="s">
        <v>973</v>
      </c>
      <c r="D1216" s="1" t="s">
        <v>3256</v>
      </c>
      <c r="E1216" s="3">
        <v>45180.0</v>
      </c>
      <c r="F1216" s="1" t="s">
        <v>3</v>
      </c>
      <c r="G1216" s="4">
        <v>1.207127231E9</v>
      </c>
      <c r="H1216" s="1" t="s">
        <v>3257</v>
      </c>
      <c r="I1216" s="2"/>
      <c r="J1216" s="1" t="s">
        <v>3227</v>
      </c>
      <c r="K1216" s="1">
        <v>275.0</v>
      </c>
      <c r="L1216" s="1"/>
      <c r="M1216" s="5">
        <v>48.77</v>
      </c>
    </row>
    <row r="1217" ht="15.75" hidden="1" customHeight="1">
      <c r="A1217" s="1" t="s">
        <v>3258</v>
      </c>
      <c r="B1217" s="2">
        <v>435.0</v>
      </c>
      <c r="C1217" s="1" t="s">
        <v>973</v>
      </c>
      <c r="D1217" s="1" t="s">
        <v>3259</v>
      </c>
      <c r="E1217" s="3">
        <v>44818.0</v>
      </c>
      <c r="F1217" s="1" t="s">
        <v>3</v>
      </c>
      <c r="G1217" s="4">
        <v>1.207133221E9</v>
      </c>
      <c r="H1217" s="1" t="s">
        <v>3260</v>
      </c>
      <c r="I1217" s="2"/>
      <c r="J1217" s="1" t="s">
        <v>3227</v>
      </c>
      <c r="K1217" s="1">
        <v>275.0</v>
      </c>
      <c r="L1217" s="1"/>
      <c r="M1217" s="5">
        <v>41.37</v>
      </c>
    </row>
    <row r="1218" ht="15.75" hidden="1" customHeight="1">
      <c r="A1218" s="1" t="s">
        <v>3261</v>
      </c>
      <c r="B1218" s="2">
        <v>463.0</v>
      </c>
      <c r="C1218" s="1" t="s">
        <v>973</v>
      </c>
      <c r="D1218" s="1" t="s">
        <v>3262</v>
      </c>
      <c r="E1218" s="3">
        <v>44860.0</v>
      </c>
      <c r="F1218" s="1" t="s">
        <v>3</v>
      </c>
      <c r="G1218" s="4">
        <v>1.207133221E9</v>
      </c>
      <c r="H1218" s="1" t="s">
        <v>3260</v>
      </c>
      <c r="I1218" s="2"/>
      <c r="J1218" s="1" t="s">
        <v>3227</v>
      </c>
      <c r="K1218" s="1">
        <v>50.0</v>
      </c>
      <c r="L1218" s="1"/>
      <c r="M1218" s="5">
        <v>45.51</v>
      </c>
    </row>
    <row r="1219" ht="15.75" hidden="1" customHeight="1">
      <c r="A1219" s="1" t="s">
        <v>3263</v>
      </c>
      <c r="B1219" s="2">
        <v>470.0</v>
      </c>
      <c r="C1219" s="1" t="s">
        <v>973</v>
      </c>
      <c r="D1219" s="1" t="s">
        <v>3264</v>
      </c>
      <c r="E1219" s="3">
        <v>44872.0</v>
      </c>
      <c r="F1219" s="1" t="s">
        <v>3</v>
      </c>
      <c r="G1219" s="4">
        <v>1.207133221E9</v>
      </c>
      <c r="H1219" s="1" t="s">
        <v>3260</v>
      </c>
      <c r="I1219" s="2"/>
      <c r="J1219" s="1" t="s">
        <v>3227</v>
      </c>
      <c r="K1219" s="1">
        <v>150.0</v>
      </c>
      <c r="L1219" s="1"/>
      <c r="M1219" s="5">
        <v>45.51</v>
      </c>
    </row>
    <row r="1220" ht="15.75" hidden="1" customHeight="1">
      <c r="A1220" s="1" t="s">
        <v>3265</v>
      </c>
      <c r="B1220" s="2">
        <v>486.0</v>
      </c>
      <c r="C1220" s="1" t="s">
        <v>973</v>
      </c>
      <c r="D1220" s="1" t="s">
        <v>3266</v>
      </c>
      <c r="E1220" s="3">
        <v>44914.0</v>
      </c>
      <c r="F1220" s="1" t="s">
        <v>3</v>
      </c>
      <c r="G1220" s="4">
        <v>1.207133221E9</v>
      </c>
      <c r="H1220" s="1" t="s">
        <v>3260</v>
      </c>
      <c r="I1220" s="2"/>
      <c r="J1220" s="1" t="s">
        <v>3227</v>
      </c>
      <c r="K1220" s="1">
        <v>25.0</v>
      </c>
      <c r="L1220" s="1"/>
      <c r="M1220" s="5">
        <v>45.51</v>
      </c>
    </row>
    <row r="1221" ht="15.75" hidden="1" customHeight="1">
      <c r="A1221" s="1" t="s">
        <v>3267</v>
      </c>
      <c r="B1221" s="2">
        <v>487.0</v>
      </c>
      <c r="C1221" s="1" t="s">
        <v>973</v>
      </c>
      <c r="D1221" s="1" t="s">
        <v>3268</v>
      </c>
      <c r="E1221" s="3">
        <v>44914.0</v>
      </c>
      <c r="F1221" s="1" t="s">
        <v>3</v>
      </c>
      <c r="G1221" s="4">
        <v>1.207133221E9</v>
      </c>
      <c r="H1221" s="1" t="s">
        <v>3260</v>
      </c>
      <c r="I1221" s="2"/>
      <c r="J1221" s="1" t="s">
        <v>3227</v>
      </c>
      <c r="K1221" s="1">
        <v>25.0</v>
      </c>
      <c r="L1221" s="1"/>
      <c r="M1221" s="5">
        <v>45.51</v>
      </c>
    </row>
    <row r="1222" ht="15.75" hidden="1" customHeight="1">
      <c r="A1222" s="1" t="s">
        <v>3269</v>
      </c>
      <c r="B1222" s="2">
        <v>496.0</v>
      </c>
      <c r="C1222" s="1" t="s">
        <v>973</v>
      </c>
      <c r="D1222" s="1" t="s">
        <v>3270</v>
      </c>
      <c r="E1222" s="3">
        <v>44931.0</v>
      </c>
      <c r="F1222" s="1" t="s">
        <v>3</v>
      </c>
      <c r="G1222" s="4">
        <v>1.207133221E9</v>
      </c>
      <c r="H1222" s="1" t="s">
        <v>3260</v>
      </c>
      <c r="I1222" s="2"/>
      <c r="J1222" s="1" t="s">
        <v>3227</v>
      </c>
      <c r="K1222" s="1">
        <v>25.0</v>
      </c>
      <c r="L1222" s="1"/>
      <c r="M1222" s="5">
        <v>45.51</v>
      </c>
    </row>
    <row r="1223" ht="15.75" hidden="1" customHeight="1">
      <c r="A1223" s="1" t="s">
        <v>3271</v>
      </c>
      <c r="B1223" s="2">
        <v>504.0</v>
      </c>
      <c r="C1223" s="1" t="s">
        <v>973</v>
      </c>
      <c r="D1223" s="1" t="s">
        <v>3272</v>
      </c>
      <c r="E1223" s="3">
        <v>44943.0</v>
      </c>
      <c r="F1223" s="1" t="s">
        <v>3</v>
      </c>
      <c r="G1223" s="4">
        <v>1.207133221E9</v>
      </c>
      <c r="H1223" s="1" t="s">
        <v>3260</v>
      </c>
      <c r="I1223" s="2"/>
      <c r="J1223" s="1" t="s">
        <v>3227</v>
      </c>
      <c r="K1223" s="1">
        <v>225.0</v>
      </c>
      <c r="L1223" s="1"/>
      <c r="M1223" s="5">
        <v>45.51</v>
      </c>
    </row>
    <row r="1224" ht="15.75" hidden="1" customHeight="1">
      <c r="A1224" s="1" t="s">
        <v>3273</v>
      </c>
      <c r="B1224" s="2">
        <v>513.0</v>
      </c>
      <c r="C1224" s="1" t="s">
        <v>973</v>
      </c>
      <c r="D1224" s="1" t="s">
        <v>3274</v>
      </c>
      <c r="E1224" s="3">
        <v>44959.0</v>
      </c>
      <c r="F1224" s="1" t="s">
        <v>3</v>
      </c>
      <c r="G1224" s="4">
        <v>1.207133221E9</v>
      </c>
      <c r="H1224" s="1" t="s">
        <v>3260</v>
      </c>
      <c r="I1224" s="2"/>
      <c r="J1224" s="1" t="s">
        <v>3227</v>
      </c>
      <c r="K1224" s="1">
        <v>175.0</v>
      </c>
      <c r="L1224" s="1"/>
      <c r="M1224" s="5">
        <v>48.77</v>
      </c>
    </row>
    <row r="1225" ht="15.75" hidden="1" customHeight="1">
      <c r="A1225" s="1" t="s">
        <v>3275</v>
      </c>
      <c r="B1225" s="2">
        <v>642.0</v>
      </c>
      <c r="C1225" s="1" t="s">
        <v>973</v>
      </c>
      <c r="D1225" s="1" t="s">
        <v>3276</v>
      </c>
      <c r="E1225" s="1" t="s">
        <v>60</v>
      </c>
      <c r="F1225" s="1" t="s">
        <v>3</v>
      </c>
      <c r="G1225" s="4">
        <v>1.207133221E9</v>
      </c>
      <c r="H1225" s="1" t="s">
        <v>3260</v>
      </c>
      <c r="I1225" s="2"/>
      <c r="J1225" s="1" t="s">
        <v>3227</v>
      </c>
      <c r="K1225" s="1">
        <v>275.0</v>
      </c>
      <c r="L1225" s="1"/>
      <c r="M1225" s="5">
        <v>41.37</v>
      </c>
    </row>
    <row r="1226" ht="15.75" hidden="1" customHeight="1">
      <c r="A1226" s="1" t="s">
        <v>3277</v>
      </c>
      <c r="B1226" s="2">
        <v>701.0</v>
      </c>
      <c r="C1226" s="1" t="s">
        <v>973</v>
      </c>
      <c r="D1226" s="1" t="s">
        <v>3278</v>
      </c>
      <c r="E1226" s="3">
        <v>45215.0</v>
      </c>
      <c r="F1226" s="1" t="s">
        <v>3</v>
      </c>
      <c r="G1226" s="4">
        <v>1.207140231E9</v>
      </c>
      <c r="H1226" s="1" t="s">
        <v>3279</v>
      </c>
      <c r="I1226" s="2"/>
      <c r="J1226" s="1" t="s">
        <v>3227</v>
      </c>
      <c r="K1226" s="1">
        <v>75.0</v>
      </c>
      <c r="L1226" s="1"/>
      <c r="M1226" s="5">
        <v>48.77</v>
      </c>
    </row>
    <row r="1227" ht="15.75" hidden="1" customHeight="1">
      <c r="A1227" s="1" t="s">
        <v>3280</v>
      </c>
      <c r="B1227" s="2">
        <v>251.0</v>
      </c>
      <c r="C1227" s="1" t="s">
        <v>973</v>
      </c>
      <c r="D1227" s="1" t="s">
        <v>3281</v>
      </c>
      <c r="E1227" s="3">
        <v>44557.0</v>
      </c>
      <c r="F1227" s="1" t="s">
        <v>3</v>
      </c>
      <c r="G1227" s="4">
        <v>1.207148211E9</v>
      </c>
      <c r="H1227" s="1" t="s">
        <v>3282</v>
      </c>
      <c r="I1227" s="2"/>
      <c r="J1227" s="1" t="s">
        <v>9</v>
      </c>
      <c r="K1227" s="1">
        <v>1000.0</v>
      </c>
      <c r="L1227" s="1"/>
      <c r="M1227" s="5">
        <v>32.7</v>
      </c>
    </row>
    <row r="1228" ht="15.75" hidden="1" customHeight="1">
      <c r="A1228" s="1" t="s">
        <v>3283</v>
      </c>
      <c r="B1228" s="2">
        <v>905.0</v>
      </c>
      <c r="C1228" s="1" t="s">
        <v>973</v>
      </c>
      <c r="D1228" s="1" t="s">
        <v>3284</v>
      </c>
      <c r="E1228" s="3">
        <v>45533.0</v>
      </c>
      <c r="F1228" s="1" t="s">
        <v>3</v>
      </c>
      <c r="G1228" s="4">
        <v>1.207168241E9</v>
      </c>
      <c r="H1228" s="1" t="s">
        <v>3285</v>
      </c>
      <c r="I1228" s="2"/>
      <c r="J1228" s="1" t="s">
        <v>3227</v>
      </c>
      <c r="K1228" s="1">
        <v>275.0</v>
      </c>
      <c r="L1228" s="1"/>
      <c r="M1228" s="5">
        <v>49.47</v>
      </c>
    </row>
    <row r="1229" ht="15.75" hidden="1" customHeight="1">
      <c r="A1229" s="1" t="s">
        <v>3286</v>
      </c>
      <c r="B1229" s="2">
        <v>730.0</v>
      </c>
      <c r="C1229" s="1" t="s">
        <v>973</v>
      </c>
      <c r="D1229" s="1" t="s">
        <v>3287</v>
      </c>
      <c r="E1229" s="3">
        <v>45279.0</v>
      </c>
      <c r="F1229" s="1" t="s">
        <v>3</v>
      </c>
      <c r="G1229" s="4">
        <v>1.207169231E9</v>
      </c>
      <c r="H1229" s="1" t="s">
        <v>3288</v>
      </c>
      <c r="I1229" s="2"/>
      <c r="J1229" s="1" t="s">
        <v>3227</v>
      </c>
      <c r="K1229" s="1">
        <v>125.0</v>
      </c>
      <c r="L1229" s="1"/>
      <c r="M1229" s="5">
        <v>48.77</v>
      </c>
    </row>
    <row r="1230" ht="15.75" hidden="1" customHeight="1">
      <c r="A1230" s="1" t="s">
        <v>3289</v>
      </c>
      <c r="B1230" s="2">
        <v>1153.0</v>
      </c>
      <c r="C1230" s="1" t="s">
        <v>973</v>
      </c>
      <c r="D1230" s="1" t="s">
        <v>3290</v>
      </c>
      <c r="E1230" s="3">
        <v>45939.0</v>
      </c>
      <c r="F1230" s="1" t="s">
        <v>3</v>
      </c>
      <c r="G1230" s="4">
        <v>1.207183251E9</v>
      </c>
      <c r="H1230" s="1" t="s">
        <v>3291</v>
      </c>
      <c r="I1230" s="2"/>
      <c r="J1230" s="1" t="s">
        <v>3227</v>
      </c>
      <c r="K1230" s="1">
        <v>325.0</v>
      </c>
      <c r="L1230" s="1"/>
      <c r="M1230" s="5">
        <v>49.7</v>
      </c>
    </row>
    <row r="1231" ht="15.75" hidden="1" customHeight="1">
      <c r="A1231" s="1" t="s">
        <v>3292</v>
      </c>
      <c r="B1231" s="2">
        <v>962.0</v>
      </c>
      <c r="C1231" s="1" t="s">
        <v>973</v>
      </c>
      <c r="D1231" s="1" t="s">
        <v>3293</v>
      </c>
      <c r="E1231" s="3">
        <v>45603.0</v>
      </c>
      <c r="F1231" s="1" t="s">
        <v>3</v>
      </c>
      <c r="G1231" s="4">
        <v>1.207224241E9</v>
      </c>
      <c r="H1231" s="1" t="s">
        <v>3294</v>
      </c>
      <c r="I1231" s="2"/>
      <c r="J1231" s="1" t="s">
        <v>3227</v>
      </c>
      <c r="K1231" s="1">
        <v>275.0</v>
      </c>
      <c r="L1231" s="1"/>
      <c r="M1231" s="5">
        <v>49.47</v>
      </c>
    </row>
    <row r="1232" ht="15.75" hidden="1" customHeight="1">
      <c r="A1232" s="1" t="s">
        <v>3295</v>
      </c>
      <c r="B1232" s="2">
        <v>997.0</v>
      </c>
      <c r="C1232" s="1" t="s">
        <v>973</v>
      </c>
      <c r="D1232" s="1" t="s">
        <v>3296</v>
      </c>
      <c r="E1232" s="3">
        <v>45698.0</v>
      </c>
      <c r="F1232" s="1" t="s">
        <v>3</v>
      </c>
      <c r="G1232" s="4">
        <v>1.207263241E9</v>
      </c>
      <c r="H1232" s="1" t="s">
        <v>3297</v>
      </c>
      <c r="I1232" s="2"/>
      <c r="J1232" s="1" t="s">
        <v>3227</v>
      </c>
      <c r="K1232" s="1">
        <v>300.0</v>
      </c>
      <c r="L1232" s="1"/>
      <c r="M1232" s="5">
        <v>49.99</v>
      </c>
    </row>
    <row r="1233" ht="15.75" hidden="1" customHeight="1">
      <c r="A1233" s="1" t="s">
        <v>3298</v>
      </c>
      <c r="B1233" s="2">
        <v>535.0</v>
      </c>
      <c r="C1233" s="1" t="s">
        <v>255</v>
      </c>
      <c r="D1233" s="1" t="s">
        <v>3299</v>
      </c>
      <c r="E1233" s="3">
        <v>45009.0</v>
      </c>
      <c r="F1233" s="1" t="s">
        <v>3</v>
      </c>
      <c r="G1233" s="4">
        <v>1.302049231E9</v>
      </c>
      <c r="H1233" s="1" t="s">
        <v>3300</v>
      </c>
      <c r="I1233" s="2"/>
      <c r="J1233" s="1" t="s">
        <v>416</v>
      </c>
      <c r="K1233" s="1">
        <v>100.0</v>
      </c>
      <c r="L1233" s="1"/>
      <c r="M1233" s="5">
        <v>151.88</v>
      </c>
    </row>
    <row r="1234" ht="15.75" hidden="1" customHeight="1">
      <c r="A1234" s="1" t="s">
        <v>3301</v>
      </c>
      <c r="B1234" s="2">
        <v>537.0</v>
      </c>
      <c r="C1234" s="1" t="s">
        <v>449</v>
      </c>
      <c r="D1234" s="1" t="s">
        <v>3302</v>
      </c>
      <c r="E1234" s="3">
        <v>45009.0</v>
      </c>
      <c r="F1234" s="1" t="s">
        <v>3</v>
      </c>
      <c r="G1234" s="4">
        <v>1.302049231E9</v>
      </c>
      <c r="H1234" s="1" t="s">
        <v>3300</v>
      </c>
      <c r="I1234" s="2"/>
      <c r="J1234" s="1" t="s">
        <v>124</v>
      </c>
      <c r="K1234" s="1">
        <v>5.0</v>
      </c>
      <c r="L1234" s="1"/>
      <c r="M1234" s="5">
        <v>140.54</v>
      </c>
    </row>
    <row r="1235" ht="15.75" hidden="1" customHeight="1">
      <c r="A1235" s="1" t="s">
        <v>3303</v>
      </c>
      <c r="B1235" s="2">
        <v>542.0</v>
      </c>
      <c r="C1235" s="1" t="s">
        <v>255</v>
      </c>
      <c r="D1235" s="1" t="s">
        <v>3304</v>
      </c>
      <c r="E1235" s="3">
        <v>45026.0</v>
      </c>
      <c r="F1235" s="1" t="s">
        <v>3</v>
      </c>
      <c r="G1235" s="4">
        <v>1.302049231E9</v>
      </c>
      <c r="H1235" s="1" t="s">
        <v>3300</v>
      </c>
      <c r="I1235" s="2"/>
      <c r="J1235" s="1" t="s">
        <v>416</v>
      </c>
      <c r="K1235" s="1">
        <v>125.0</v>
      </c>
      <c r="L1235" s="1"/>
      <c r="M1235" s="5">
        <v>151.88</v>
      </c>
    </row>
    <row r="1236" ht="15.75" hidden="1" customHeight="1">
      <c r="A1236" s="1" t="s">
        <v>1675</v>
      </c>
      <c r="B1236" s="2">
        <v>553.0</v>
      </c>
      <c r="C1236" s="1" t="s">
        <v>27</v>
      </c>
      <c r="D1236" s="1" t="s">
        <v>1676</v>
      </c>
      <c r="E1236" s="3">
        <v>45033.0</v>
      </c>
      <c r="F1236" s="1" t="s">
        <v>3</v>
      </c>
      <c r="G1236" s="4">
        <v>1.302049231E9</v>
      </c>
      <c r="H1236" s="1" t="s">
        <v>3300</v>
      </c>
      <c r="I1236" s="2"/>
      <c r="J1236" s="1" t="s">
        <v>16</v>
      </c>
      <c r="K1236" s="1">
        <v>300.0</v>
      </c>
      <c r="L1236" s="1"/>
      <c r="M1236" s="5">
        <v>111.31</v>
      </c>
    </row>
    <row r="1237" ht="15.75" hidden="1" customHeight="1">
      <c r="A1237" s="1" t="s">
        <v>3305</v>
      </c>
      <c r="B1237" s="2">
        <v>559.0</v>
      </c>
      <c r="C1237" s="1" t="s">
        <v>518</v>
      </c>
      <c r="D1237" s="1" t="s">
        <v>3306</v>
      </c>
      <c r="E1237" s="3">
        <v>45043.0</v>
      </c>
      <c r="F1237" s="1" t="s">
        <v>3</v>
      </c>
      <c r="G1237" s="4">
        <v>1.302049231E9</v>
      </c>
      <c r="H1237" s="1" t="s">
        <v>3300</v>
      </c>
      <c r="I1237" s="2"/>
      <c r="J1237" s="1" t="s">
        <v>623</v>
      </c>
      <c r="K1237" s="1">
        <v>10.0</v>
      </c>
      <c r="L1237" s="1"/>
      <c r="M1237" s="5">
        <v>140.63</v>
      </c>
    </row>
    <row r="1238" ht="15.75" hidden="1" customHeight="1">
      <c r="A1238" s="1" t="s">
        <v>1678</v>
      </c>
      <c r="B1238" s="2">
        <v>613.0</v>
      </c>
      <c r="C1238" s="1" t="s">
        <v>27</v>
      </c>
      <c r="D1238" s="1" t="s">
        <v>1679</v>
      </c>
      <c r="E1238" s="1" t="s">
        <v>60</v>
      </c>
      <c r="F1238" s="1" t="s">
        <v>3</v>
      </c>
      <c r="G1238" s="4">
        <v>1.302049231E9</v>
      </c>
      <c r="H1238" s="1" t="s">
        <v>3300</v>
      </c>
      <c r="I1238" s="2"/>
      <c r="J1238" s="1" t="s">
        <v>16</v>
      </c>
      <c r="K1238" s="1">
        <v>300.0</v>
      </c>
      <c r="L1238" s="1"/>
      <c r="M1238" s="5">
        <v>111.31</v>
      </c>
    </row>
    <row r="1239" ht="15.75" hidden="1" customHeight="1">
      <c r="A1239" s="1" t="s">
        <v>3307</v>
      </c>
      <c r="B1239" s="2">
        <v>616.0</v>
      </c>
      <c r="C1239" s="1" t="s">
        <v>518</v>
      </c>
      <c r="D1239" s="1" t="s">
        <v>3308</v>
      </c>
      <c r="E1239" s="1" t="s">
        <v>60</v>
      </c>
      <c r="F1239" s="1" t="s">
        <v>3</v>
      </c>
      <c r="G1239" s="4">
        <v>1.302049231E9</v>
      </c>
      <c r="H1239" s="1" t="s">
        <v>3300</v>
      </c>
      <c r="I1239" s="2"/>
      <c r="J1239" s="1" t="s">
        <v>623</v>
      </c>
      <c r="K1239" s="1">
        <v>10.0</v>
      </c>
      <c r="L1239" s="1"/>
      <c r="M1239" s="5">
        <v>140.63</v>
      </c>
    </row>
    <row r="1240" ht="15.75" hidden="1" customHeight="1">
      <c r="A1240" s="1" t="s">
        <v>3309</v>
      </c>
      <c r="B1240" s="2">
        <v>617.0</v>
      </c>
      <c r="C1240" s="1" t="s">
        <v>518</v>
      </c>
      <c r="D1240" s="1" t="s">
        <v>3310</v>
      </c>
      <c r="E1240" s="1" t="s">
        <v>60</v>
      </c>
      <c r="F1240" s="1" t="s">
        <v>3</v>
      </c>
      <c r="G1240" s="4">
        <v>1.302049231E9</v>
      </c>
      <c r="H1240" s="1" t="s">
        <v>3300</v>
      </c>
      <c r="I1240" s="2"/>
      <c r="K1240" s="1">
        <v>10.0</v>
      </c>
      <c r="L1240" s="1"/>
      <c r="M1240" s="5">
        <v>140.63</v>
      </c>
    </row>
    <row r="1241" ht="15.75" hidden="1" customHeight="1">
      <c r="A1241" s="1" t="s">
        <v>3311</v>
      </c>
      <c r="B1241" s="2">
        <v>618.0</v>
      </c>
      <c r="C1241" s="1" t="s">
        <v>518</v>
      </c>
      <c r="D1241" s="1" t="s">
        <v>3312</v>
      </c>
      <c r="E1241" s="1" t="s">
        <v>60</v>
      </c>
      <c r="F1241" s="1" t="s">
        <v>3</v>
      </c>
      <c r="G1241" s="4">
        <v>1.302049231E9</v>
      </c>
      <c r="H1241" s="1" t="s">
        <v>3300</v>
      </c>
      <c r="I1241" s="2"/>
      <c r="K1241" s="1">
        <v>10.0</v>
      </c>
      <c r="L1241" s="1"/>
      <c r="M1241" s="5">
        <v>140.63</v>
      </c>
    </row>
    <row r="1242" ht="15.75" hidden="1" customHeight="1">
      <c r="A1242" s="1" t="s">
        <v>3313</v>
      </c>
      <c r="B1242" s="2">
        <v>533.0</v>
      </c>
      <c r="C1242" s="1" t="s">
        <v>219</v>
      </c>
      <c r="D1242" s="1" t="s">
        <v>3314</v>
      </c>
      <c r="E1242" s="3">
        <v>45009.0</v>
      </c>
      <c r="F1242" s="1" t="s">
        <v>3</v>
      </c>
      <c r="G1242" s="4">
        <v>1.310053231E9</v>
      </c>
      <c r="H1242" s="1" t="s">
        <v>3315</v>
      </c>
      <c r="I1242" s="2"/>
      <c r="J1242" s="1" t="s">
        <v>1442</v>
      </c>
      <c r="K1242" s="1">
        <v>100.0</v>
      </c>
      <c r="L1242" s="1"/>
      <c r="M1242" s="5">
        <v>113.49</v>
      </c>
    </row>
    <row r="1243" ht="15.75" hidden="1" customHeight="1">
      <c r="A1243" s="1" t="s">
        <v>3316</v>
      </c>
      <c r="B1243" s="2">
        <v>534.0</v>
      </c>
      <c r="C1243" s="1" t="s">
        <v>219</v>
      </c>
      <c r="D1243" s="1" t="s">
        <v>3317</v>
      </c>
      <c r="E1243" s="3">
        <v>45009.0</v>
      </c>
      <c r="F1243" s="1" t="s">
        <v>3</v>
      </c>
      <c r="G1243" s="4">
        <v>1.310053231E9</v>
      </c>
      <c r="H1243" s="1" t="s">
        <v>3315</v>
      </c>
      <c r="I1243" s="2"/>
      <c r="J1243" s="1" t="s">
        <v>1442</v>
      </c>
      <c r="K1243" s="1">
        <v>100.0</v>
      </c>
      <c r="L1243" s="1"/>
      <c r="M1243" s="5">
        <v>113.49</v>
      </c>
    </row>
    <row r="1244" ht="15.75" hidden="1" customHeight="1">
      <c r="A1244" s="1" t="s">
        <v>3318</v>
      </c>
      <c r="B1244" s="2">
        <v>626.0</v>
      </c>
      <c r="C1244" s="1" t="s">
        <v>219</v>
      </c>
      <c r="D1244" s="1" t="s">
        <v>3319</v>
      </c>
      <c r="E1244" s="3">
        <v>45106.0</v>
      </c>
      <c r="F1244" s="1" t="s">
        <v>3</v>
      </c>
      <c r="G1244" s="4">
        <v>1.310099231E9</v>
      </c>
      <c r="H1244" s="1" t="s">
        <v>3320</v>
      </c>
      <c r="I1244" s="2"/>
      <c r="J1244" s="1" t="s">
        <v>1442</v>
      </c>
      <c r="K1244" s="1">
        <v>25.0</v>
      </c>
      <c r="L1244" s="1"/>
      <c r="M1244" s="5">
        <v>113.49</v>
      </c>
    </row>
    <row r="1245" ht="15.75" hidden="1" customHeight="1">
      <c r="A1245" s="1" t="s">
        <v>3321</v>
      </c>
      <c r="B1245" s="2">
        <v>669.0</v>
      </c>
      <c r="C1245" s="1" t="s">
        <v>219</v>
      </c>
      <c r="D1245" s="1" t="s">
        <v>3322</v>
      </c>
      <c r="E1245" s="3">
        <v>45166.0</v>
      </c>
      <c r="F1245" s="1" t="s">
        <v>3</v>
      </c>
      <c r="G1245" s="4">
        <v>1.310099231E9</v>
      </c>
      <c r="H1245" s="1" t="s">
        <v>3320</v>
      </c>
      <c r="I1245" s="2"/>
      <c r="J1245" s="1" t="s">
        <v>1442</v>
      </c>
      <c r="K1245" s="1">
        <v>100.0</v>
      </c>
      <c r="L1245" s="1"/>
      <c r="M1245" s="5">
        <v>113.49</v>
      </c>
    </row>
    <row r="1246" ht="15.75" hidden="1" customHeight="1">
      <c r="A1246" s="1" t="s">
        <v>3323</v>
      </c>
      <c r="B1246" s="2" t="s">
        <v>2159</v>
      </c>
      <c r="C1246" s="1" t="s">
        <v>3324</v>
      </c>
      <c r="D1246" s="1" t="s">
        <v>3325</v>
      </c>
      <c r="E1246" s="1" t="s">
        <v>3326</v>
      </c>
      <c r="F1246" s="1" t="s">
        <v>3327</v>
      </c>
      <c r="G1246" s="4" t="s">
        <v>2162</v>
      </c>
      <c r="H1246" s="1" t="s">
        <v>3328</v>
      </c>
      <c r="I1246" s="2"/>
      <c r="J1246" s="1" t="s">
        <v>3329</v>
      </c>
      <c r="K1246" s="1" t="s">
        <v>3330</v>
      </c>
      <c r="L1246" s="1"/>
      <c r="M1246" s="5" t="s">
        <v>3331</v>
      </c>
    </row>
    <row r="1247" ht="15.75" hidden="1" customHeight="1">
      <c r="A1247" s="1" t="s">
        <v>792</v>
      </c>
      <c r="B1247" s="2">
        <v>212.0</v>
      </c>
      <c r="C1247" s="1" t="s">
        <v>219</v>
      </c>
      <c r="D1247" s="1" t="s">
        <v>793</v>
      </c>
      <c r="E1247" s="3">
        <v>44508.0</v>
      </c>
      <c r="F1247" s="1" t="s">
        <v>3</v>
      </c>
      <c r="G1247" s="4"/>
      <c r="H1247" s="1" t="s">
        <v>3332</v>
      </c>
      <c r="I1247" s="2"/>
      <c r="J1247" s="1" t="s">
        <v>3333</v>
      </c>
      <c r="K1247" s="1">
        <v>0.5</v>
      </c>
      <c r="L1247" s="1"/>
      <c r="M1247" s="5">
        <v>100.0</v>
      </c>
    </row>
    <row r="1248" ht="15.75" hidden="1" customHeight="1">
      <c r="A1248" s="1" t="s">
        <v>794</v>
      </c>
      <c r="B1248" s="2">
        <v>231.0</v>
      </c>
      <c r="C1248" s="1" t="s">
        <v>422</v>
      </c>
      <c r="D1248" s="1" t="s">
        <v>795</v>
      </c>
      <c r="E1248" s="3">
        <v>44533.0</v>
      </c>
      <c r="F1248" s="1" t="s">
        <v>3</v>
      </c>
      <c r="G1248" s="4"/>
      <c r="H1248" s="1" t="s">
        <v>3332</v>
      </c>
      <c r="I1248" s="2"/>
      <c r="J1248" s="1" t="s">
        <v>3333</v>
      </c>
      <c r="K1248" s="1">
        <v>17.82</v>
      </c>
      <c r="L1248" s="1"/>
      <c r="M1248" s="5">
        <v>104.0</v>
      </c>
    </row>
    <row r="1249" ht="15.75" hidden="1" customHeight="1">
      <c r="A1249" s="1" t="s">
        <v>2644</v>
      </c>
      <c r="B1249" s="2">
        <v>833.0</v>
      </c>
      <c r="C1249" s="1" t="s">
        <v>461</v>
      </c>
      <c r="D1249" s="1" t="s">
        <v>2645</v>
      </c>
      <c r="E1249" s="3">
        <v>45419.0</v>
      </c>
      <c r="F1249" s="1" t="s">
        <v>3</v>
      </c>
      <c r="G1249" s="4"/>
      <c r="H1249" s="1" t="s">
        <v>3332</v>
      </c>
      <c r="I1249" s="2"/>
      <c r="K1249" s="1">
        <v>0.0</v>
      </c>
      <c r="L1249" s="1"/>
      <c r="M1249" s="5">
        <v>0.0</v>
      </c>
    </row>
    <row r="1250" ht="15.75" hidden="1" customHeight="1">
      <c r="A1250" s="1" t="s">
        <v>2721</v>
      </c>
      <c r="B1250" s="2">
        <v>843.0</v>
      </c>
      <c r="C1250" s="1" t="s">
        <v>169</v>
      </c>
      <c r="D1250" s="1" t="s">
        <v>2722</v>
      </c>
      <c r="E1250" s="3">
        <v>45434.0</v>
      </c>
      <c r="F1250" s="1" t="s">
        <v>3</v>
      </c>
      <c r="G1250" s="4"/>
      <c r="H1250" s="1" t="s">
        <v>3332</v>
      </c>
      <c r="I1250" s="2"/>
      <c r="K1250" s="1">
        <v>0.0</v>
      </c>
      <c r="L1250" s="1"/>
      <c r="M1250" s="5">
        <v>0.0</v>
      </c>
    </row>
    <row r="1251" ht="15.75" hidden="1" customHeight="1">
      <c r="A1251" s="1" t="s">
        <v>3334</v>
      </c>
      <c r="B1251" s="2">
        <v>849.0</v>
      </c>
      <c r="C1251" s="1" t="s">
        <v>858</v>
      </c>
      <c r="D1251" s="1" t="s">
        <v>2739</v>
      </c>
      <c r="E1251" s="3">
        <v>45448.0</v>
      </c>
      <c r="F1251" s="1" t="s">
        <v>3</v>
      </c>
      <c r="G1251" s="4"/>
      <c r="H1251" s="1" t="s">
        <v>3332</v>
      </c>
      <c r="I1251" s="2"/>
      <c r="K1251" s="1">
        <v>0.0</v>
      </c>
      <c r="L1251" s="1"/>
      <c r="M1251" s="5">
        <v>0.0</v>
      </c>
    </row>
    <row r="1252" ht="15.75" hidden="1" customHeight="1">
      <c r="A1252" s="1" t="s">
        <v>3334</v>
      </c>
      <c r="B1252" s="2">
        <v>849.0</v>
      </c>
      <c r="C1252" s="1" t="s">
        <v>858</v>
      </c>
      <c r="D1252" s="1" t="s">
        <v>2739</v>
      </c>
      <c r="E1252" s="3">
        <v>45448.0</v>
      </c>
      <c r="F1252" s="1" t="s">
        <v>3</v>
      </c>
      <c r="G1252" s="4"/>
      <c r="H1252" s="1" t="s">
        <v>3332</v>
      </c>
      <c r="I1252" s="2"/>
      <c r="K1252" s="1">
        <v>0.0</v>
      </c>
      <c r="L1252" s="1"/>
      <c r="M1252" s="5">
        <v>0.0</v>
      </c>
    </row>
    <row r="1253" ht="15.75" hidden="1" customHeight="1">
      <c r="A1253" s="1" t="s">
        <v>3334</v>
      </c>
      <c r="B1253" s="2">
        <v>849.0</v>
      </c>
      <c r="C1253" s="1" t="s">
        <v>858</v>
      </c>
      <c r="D1253" s="1" t="s">
        <v>2739</v>
      </c>
      <c r="E1253" s="3">
        <v>45448.0</v>
      </c>
      <c r="F1253" s="1" t="s">
        <v>3</v>
      </c>
      <c r="G1253" s="4"/>
      <c r="H1253" s="1" t="s">
        <v>3332</v>
      </c>
      <c r="I1253" s="2"/>
      <c r="K1253" s="1">
        <v>0.0</v>
      </c>
      <c r="L1253" s="1"/>
      <c r="M1253" s="5">
        <v>0.0</v>
      </c>
    </row>
    <row r="1254" ht="15.75" hidden="1" customHeight="1">
      <c r="A1254" s="1" t="s">
        <v>3334</v>
      </c>
      <c r="B1254" s="2">
        <v>849.0</v>
      </c>
      <c r="C1254" s="1" t="s">
        <v>858</v>
      </c>
      <c r="D1254" s="1" t="s">
        <v>2739</v>
      </c>
      <c r="E1254" s="3">
        <v>45448.0</v>
      </c>
      <c r="F1254" s="1" t="s">
        <v>3</v>
      </c>
      <c r="G1254" s="4"/>
      <c r="H1254" s="1" t="s">
        <v>3332</v>
      </c>
      <c r="I1254" s="2"/>
      <c r="K1254" s="1">
        <v>0.0</v>
      </c>
      <c r="L1254" s="1"/>
      <c r="M1254" s="5">
        <v>0.0</v>
      </c>
    </row>
    <row r="1255" ht="15.75" hidden="1" customHeight="1">
      <c r="A1255" s="1" t="s">
        <v>3334</v>
      </c>
      <c r="B1255" s="2">
        <v>849.0</v>
      </c>
      <c r="C1255" s="1" t="s">
        <v>858</v>
      </c>
      <c r="D1255" s="1" t="s">
        <v>2739</v>
      </c>
      <c r="E1255" s="3">
        <v>45448.0</v>
      </c>
      <c r="F1255" s="1" t="s">
        <v>3</v>
      </c>
      <c r="G1255" s="4"/>
      <c r="H1255" s="1" t="s">
        <v>3332</v>
      </c>
      <c r="I1255" s="2"/>
      <c r="K1255" s="1">
        <v>0.0</v>
      </c>
      <c r="L1255" s="1"/>
      <c r="M1255" s="5">
        <v>0.0</v>
      </c>
    </row>
    <row r="1256" ht="15.75" hidden="1" customHeight="1">
      <c r="A1256" s="1" t="s">
        <v>3334</v>
      </c>
      <c r="B1256" s="2">
        <v>849.0</v>
      </c>
      <c r="C1256" s="1" t="s">
        <v>858</v>
      </c>
      <c r="D1256" s="1" t="s">
        <v>2739</v>
      </c>
      <c r="E1256" s="3">
        <v>45448.0</v>
      </c>
      <c r="F1256" s="1" t="s">
        <v>3</v>
      </c>
      <c r="G1256" s="4"/>
      <c r="H1256" s="1" t="s">
        <v>3332</v>
      </c>
      <c r="I1256" s="2"/>
      <c r="K1256" s="1">
        <v>0.0</v>
      </c>
      <c r="L1256" s="1"/>
      <c r="M1256" s="5">
        <v>0.0</v>
      </c>
    </row>
    <row r="1257" ht="15.75" hidden="1" customHeight="1">
      <c r="A1257" s="1" t="s">
        <v>3334</v>
      </c>
      <c r="B1257" s="2">
        <v>849.0</v>
      </c>
      <c r="C1257" s="1" t="s">
        <v>858</v>
      </c>
      <c r="D1257" s="1" t="s">
        <v>2739</v>
      </c>
      <c r="E1257" s="3">
        <v>45448.0</v>
      </c>
      <c r="F1257" s="1" t="s">
        <v>3</v>
      </c>
      <c r="G1257" s="4"/>
      <c r="H1257" s="1" t="s">
        <v>3332</v>
      </c>
      <c r="I1257" s="2"/>
      <c r="K1257" s="1">
        <v>0.0</v>
      </c>
      <c r="L1257" s="1"/>
      <c r="M1257" s="5">
        <v>0.0</v>
      </c>
    </row>
    <row r="1258" ht="15.75" hidden="1" customHeight="1">
      <c r="A1258" s="1" t="s">
        <v>3334</v>
      </c>
      <c r="B1258" s="2">
        <v>849.0</v>
      </c>
      <c r="C1258" s="1" t="s">
        <v>858</v>
      </c>
      <c r="D1258" s="1" t="s">
        <v>2739</v>
      </c>
      <c r="E1258" s="3">
        <v>45448.0</v>
      </c>
      <c r="F1258" s="1" t="s">
        <v>3</v>
      </c>
      <c r="G1258" s="4"/>
      <c r="H1258" s="1" t="s">
        <v>3332</v>
      </c>
      <c r="I1258" s="2"/>
      <c r="K1258" s="1">
        <v>0.0</v>
      </c>
      <c r="L1258" s="1"/>
      <c r="M1258" s="5">
        <v>0.0</v>
      </c>
    </row>
    <row r="1259" ht="15.75" hidden="1" customHeight="1">
      <c r="A1259" s="1" t="s">
        <v>3334</v>
      </c>
      <c r="B1259" s="2">
        <v>849.0</v>
      </c>
      <c r="C1259" s="1" t="s">
        <v>858</v>
      </c>
      <c r="D1259" s="1" t="s">
        <v>2739</v>
      </c>
      <c r="E1259" s="3">
        <v>45448.0</v>
      </c>
      <c r="F1259" s="1" t="s">
        <v>3</v>
      </c>
      <c r="G1259" s="4"/>
      <c r="H1259" s="1" t="s">
        <v>3332</v>
      </c>
      <c r="I1259" s="2"/>
      <c r="K1259" s="1">
        <v>0.0</v>
      </c>
      <c r="L1259" s="1"/>
      <c r="M1259" s="5">
        <v>0.0</v>
      </c>
    </row>
    <row r="1260" ht="15.75" hidden="1" customHeight="1">
      <c r="A1260" s="1" t="s">
        <v>2269</v>
      </c>
      <c r="B1260" s="2">
        <v>883.0</v>
      </c>
      <c r="C1260" s="1" t="s">
        <v>39</v>
      </c>
      <c r="D1260" s="1" t="s">
        <v>2270</v>
      </c>
      <c r="E1260" s="3">
        <v>45492.0</v>
      </c>
      <c r="F1260" s="1" t="s">
        <v>3</v>
      </c>
      <c r="G1260" s="4"/>
      <c r="H1260" s="1" t="s">
        <v>3332</v>
      </c>
      <c r="I1260" s="2"/>
      <c r="K1260" s="1">
        <v>0.0</v>
      </c>
      <c r="L1260" s="1"/>
      <c r="M1260" s="5">
        <v>0.0</v>
      </c>
    </row>
    <row r="1261" ht="15.75" hidden="1" customHeight="1">
      <c r="A1261" s="1" t="s">
        <v>2939</v>
      </c>
      <c r="B1261" s="2">
        <v>925.0</v>
      </c>
      <c r="C1261" s="1" t="s">
        <v>135</v>
      </c>
      <c r="D1261" s="1" t="s">
        <v>2940</v>
      </c>
      <c r="E1261" s="3">
        <v>45554.0</v>
      </c>
      <c r="F1261" s="1" t="s">
        <v>3</v>
      </c>
      <c r="G1261" s="4"/>
      <c r="H1261" s="1" t="s">
        <v>3332</v>
      </c>
      <c r="I1261" s="2"/>
      <c r="K1261" s="1">
        <v>0.0</v>
      </c>
      <c r="L1261" s="1"/>
      <c r="M1261" s="5">
        <v>0.0</v>
      </c>
    </row>
    <row r="1262" ht="15.75" hidden="1" customHeight="1">
      <c r="A1262" s="1" t="s">
        <v>2979</v>
      </c>
      <c r="B1262" s="2">
        <v>970.0</v>
      </c>
      <c r="C1262" s="1" t="s">
        <v>449</v>
      </c>
      <c r="D1262" s="1" t="s">
        <v>2980</v>
      </c>
      <c r="E1262" s="3">
        <v>45618.0</v>
      </c>
      <c r="F1262" s="1" t="s">
        <v>3</v>
      </c>
      <c r="G1262" s="4"/>
      <c r="H1262" s="1" t="s">
        <v>3332</v>
      </c>
      <c r="I1262" s="2"/>
      <c r="K1262" s="1">
        <v>0.0</v>
      </c>
      <c r="L1262" s="1"/>
      <c r="M1262" s="5">
        <v>0.0</v>
      </c>
    </row>
    <row r="1263" ht="15.75" hidden="1" customHeight="1">
      <c r="A1263" s="1" t="s">
        <v>2981</v>
      </c>
      <c r="B1263" s="2">
        <v>975.0</v>
      </c>
      <c r="C1263" s="1" t="s">
        <v>449</v>
      </c>
      <c r="D1263" s="1" t="s">
        <v>2982</v>
      </c>
      <c r="E1263" s="3">
        <v>45632.0</v>
      </c>
      <c r="F1263" s="1" t="s">
        <v>3</v>
      </c>
      <c r="G1263" s="4"/>
      <c r="H1263" s="1" t="s">
        <v>3332</v>
      </c>
      <c r="I1263" s="2"/>
      <c r="K1263" s="1">
        <v>0.0</v>
      </c>
      <c r="L1263" s="1"/>
      <c r="M1263" s="5">
        <v>0.0</v>
      </c>
    </row>
    <row r="1264" ht="15.75" customHeight="1">
      <c r="B1264" s="2"/>
      <c r="G1264" s="4"/>
      <c r="I1264" s="2"/>
      <c r="M1264" s="22"/>
    </row>
    <row r="1265" ht="15.75" customHeight="1">
      <c r="B1265" s="2"/>
      <c r="G1265" s="4"/>
      <c r="I1265" s="2"/>
      <c r="M1265" s="22"/>
    </row>
  </sheetData>
  <autoFilter ref="$A$1:$P$1263"/>
  <mergeCells count="1">
    <mergeCell ref="L883:L884"/>
  </mergeCells>
  <conditionalFormatting sqref="I1:I1265">
    <cfRule type="notContainsBlanks" dxfId="0" priority="1">
      <formula>LEN(TRIM(I1))&gt;0</formula>
    </cfRule>
  </conditionalFormatting>
  <hyperlinks>
    <hyperlink r:id="rId2" ref="I881"/>
  </hyperlinks>
  <printOptions/>
  <pageMargins bottom="0.75" footer="0.0" header="0.0" left="0.7" right="0.7" top="0.75"/>
  <pageSetup orientation="portrait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5" t="str">
        <f>IFERROR(__xludf.DUMMYFUNCTION("IMPORTRANGE(""https://docs.google.com/spreadsheets/d/1uFu9szEpgTP7K4CY8wNiB6BghxNL1MZrfLojCRtVazg"",""po_extraction_results_v4!A:F"")"),"original_file")</f>
        <v>original_file</v>
      </c>
      <c r="B1" s="35" t="str">
        <f>IFERROR(__xludf.DUMMYFUNCTION("""COMPUTED_VALUE"""),"renamed_file")</f>
        <v>renamed_file</v>
      </c>
      <c r="C1" s="35" t="str">
        <f>IFERROR(__xludf.DUMMYFUNCTION("""COMPUTED_VALUE"""),"po_number")</f>
        <v>po_number</v>
      </c>
      <c r="D1" s="35" t="str">
        <f>IFERROR(__xludf.DUMMYFUNCTION("""COMPUTED_VALUE"""),"customer")</f>
        <v>customer</v>
      </c>
      <c r="E1" s="35" t="str">
        <f>IFERROR(__xludf.DUMMYFUNCTION("""COMPUTED_VALUE"""),"date")</f>
        <v>date</v>
      </c>
      <c r="F1" s="35" t="str">
        <f>IFERROR(__xludf.DUMMYFUNCTION("""COMPUTED_VALUE"""),"status")</f>
        <v>status</v>
      </c>
    </row>
    <row r="2">
      <c r="A2" s="35" t="str">
        <f>IFERROR(__xludf.DUMMYFUNCTION("""COMPUTED_VALUE"""),"11311_EL-ALAMO-EXPORT_31-05-24.pdf")</f>
        <v>11311_EL-ALAMO-EXPORT_31-05-24.pdf</v>
      </c>
      <c r="B2" s="35" t="str">
        <f>IFERROR(__xludf.DUMMYFUNCTION("""COMPUTED_VALUE"""),"11311-EL_ALAMO-20240531.pdf")</f>
        <v>11311-EL_ALAMO-20240531.pdf</v>
      </c>
      <c r="C2" s="35">
        <f>IFERROR(__xludf.DUMMYFUNCTION("""COMPUTED_VALUE"""),11311.0)</f>
        <v>11311</v>
      </c>
      <c r="D2" s="35" t="str">
        <f>IFERROR(__xludf.DUMMYFUNCTION("""COMPUTED_VALUE"""),"EL_ALAMO")</f>
        <v>EL_ALAMO</v>
      </c>
      <c r="E2" s="35">
        <f>IFERROR(__xludf.DUMMYFUNCTION("""COMPUTED_VALUE"""),2.0240531E7)</f>
        <v>20240531</v>
      </c>
      <c r="F2" s="35" t="str">
        <f>IFERROR(__xludf.DUMMYFUNCTION("""COMPUTED_VALUE"""),"SUCCESS")</f>
        <v>SUCCESS</v>
      </c>
    </row>
    <row r="3">
      <c r="A3" s="35" t="str">
        <f>IFERROR(__xludf.DUMMYFUNCTION("""COMPUTED_VALUE"""),"117826 - PO.pdf")</f>
        <v>117826 - PO.pdf</v>
      </c>
      <c r="B3" s="35" t="str">
        <f>IFERROR(__xludf.DUMMYFUNCTION("""COMPUTED_VALUE"""),"117826-AMB_WELLNESS-20240101.pdf")</f>
        <v>117826-AMB_WELLNESS-20240101.pdf</v>
      </c>
      <c r="C3" s="35">
        <f>IFERROR(__xludf.DUMMYFUNCTION("""COMPUTED_VALUE"""),117826.0)</f>
        <v>117826</v>
      </c>
      <c r="D3" s="35" t="str">
        <f>IFERROR(__xludf.DUMMYFUNCTION("""COMPUTED_VALUE"""),"AMB_WELLNESS")</f>
        <v>AMB_WELLNESS</v>
      </c>
      <c r="E3" s="35">
        <f>IFERROR(__xludf.DUMMYFUNCTION("""COMPUTED_VALUE"""),2.0240101E7)</f>
        <v>20240101</v>
      </c>
      <c r="F3" s="35" t="str">
        <f>IFERROR(__xludf.DUMMYFUNCTION("""COMPUTED_VALUE"""),"SUCCESS")</f>
        <v>SUCCESS</v>
      </c>
    </row>
    <row r="4">
      <c r="A4" s="35" t="str">
        <f>IFERROR(__xludf.DUMMYFUNCTION("""COMPUTED_VALUE"""),"117826 -06-08-2021-BARENTZ_Service_S.p..pdf")</f>
        <v>117826 -06-08-2021-BARENTZ_Service_S.p..pdf</v>
      </c>
      <c r="B4" s="35" t="str">
        <f>IFERROR(__xludf.DUMMYFUNCTION("""COMPUTED_VALUE"""),"117826-BARENTZ-20210806.pdf")</f>
        <v>117826-BARENTZ-20210806.pdf</v>
      </c>
      <c r="C4" s="35">
        <f>IFERROR(__xludf.DUMMYFUNCTION("""COMPUTED_VALUE"""),117826.0)</f>
        <v>117826</v>
      </c>
      <c r="D4" s="35" t="str">
        <f>IFERROR(__xludf.DUMMYFUNCTION("""COMPUTED_VALUE"""),"BARENTZ")</f>
        <v>BARENTZ</v>
      </c>
      <c r="E4" s="35">
        <f>IFERROR(__xludf.DUMMYFUNCTION("""COMPUTED_VALUE"""),2.0210806E7)</f>
        <v>20210806</v>
      </c>
      <c r="F4" s="35" t="str">
        <f>IFERROR(__xludf.DUMMYFUNCTION("""COMPUTED_VALUE"""),"SUCCESS")</f>
        <v>SUCCESS</v>
      </c>
    </row>
    <row r="5">
      <c r="A5" s="35" t="str">
        <f>IFERROR(__xludf.DUMMYFUNCTION("""COMPUTED_VALUE"""),"117826 -06-08-2021-BRENNTAG_HONDURAS_S..pdf")</f>
        <v>117826 -06-08-2021-BRENNTAG_HONDURAS_S..pdf</v>
      </c>
      <c r="B5" s="35" t="str">
        <f>IFERROR(__xludf.DUMMYFUNCTION("""COMPUTED_VALUE"""),"117826-BRENNTAG-20210806.pdf")</f>
        <v>117826-BRENNTAG-20210806.pdf</v>
      </c>
      <c r="C5" s="35">
        <f>IFERROR(__xludf.DUMMYFUNCTION("""COMPUTED_VALUE"""),117826.0)</f>
        <v>117826</v>
      </c>
      <c r="D5" s="35" t="str">
        <f>IFERROR(__xludf.DUMMYFUNCTION("""COMPUTED_VALUE"""),"BRENNTAG")</f>
        <v>BRENNTAG</v>
      </c>
      <c r="E5" s="35">
        <f>IFERROR(__xludf.DUMMYFUNCTION("""COMPUTED_VALUE"""),2.0210806E7)</f>
        <v>20210806</v>
      </c>
      <c r="F5" s="35" t="str">
        <f>IFERROR(__xludf.DUMMYFUNCTION("""COMPUTED_VALUE"""),"SUCCESS")</f>
        <v>SUCCESS</v>
      </c>
    </row>
    <row r="6">
      <c r="A6" s="35" t="str">
        <f>IFERROR(__xludf.DUMMYFUNCTION("""COMPUTED_VALUE"""),"117826 -06-08-2021-BRENNTAG_MEXICO_SA_D.pdf")</f>
        <v>117826 -06-08-2021-BRENNTAG_MEXICO_SA_D.pdf</v>
      </c>
      <c r="B6" s="35" t="str">
        <f>IFERROR(__xludf.DUMMYFUNCTION("""COMPUTED_VALUE"""),"117826-BRENNTAG-20210806.pdf")</f>
        <v>117826-BRENNTAG-20210806.pdf</v>
      </c>
      <c r="C6" s="35">
        <f>IFERROR(__xludf.DUMMYFUNCTION("""COMPUTED_VALUE"""),117826.0)</f>
        <v>117826</v>
      </c>
      <c r="D6" s="35" t="str">
        <f>IFERROR(__xludf.DUMMYFUNCTION("""COMPUTED_VALUE"""),"BRENNTAG")</f>
        <v>BRENNTAG</v>
      </c>
      <c r="E6" s="35">
        <f>IFERROR(__xludf.DUMMYFUNCTION("""COMPUTED_VALUE"""),2.0210806E7)</f>
        <v>20210806</v>
      </c>
      <c r="F6" s="35" t="str">
        <f>IFERROR(__xludf.DUMMYFUNCTION("""COMPUTED_VALUE"""),"SUCCESS")</f>
        <v>SUCCESS</v>
      </c>
    </row>
    <row r="7">
      <c r="A7" s="35" t="str">
        <f>IFERROR(__xludf.DUMMYFUNCTION("""COMPUTED_VALUE"""),"117826 -06-08-2021-Companhia_Providênci.pdf")</f>
        <v>117826 -06-08-2021-Companhia_Providênci.pdf</v>
      </c>
      <c r="B7" s="35" t="str">
        <f>IFERROR(__xludf.DUMMYFUNCTION("""COMPUTED_VALUE"""),"117826-COMPANHIA_PROVIDENCIA-20210806.pdf")</f>
        <v>117826-COMPANHIA_PROVIDENCIA-20210806.pdf</v>
      </c>
      <c r="C7" s="35">
        <f>IFERROR(__xludf.DUMMYFUNCTION("""COMPUTED_VALUE"""),117826.0)</f>
        <v>117826</v>
      </c>
      <c r="D7" s="35" t="str">
        <f>IFERROR(__xludf.DUMMYFUNCTION("""COMPUTED_VALUE"""),"COMPANHIA_PROVIDENCIA")</f>
        <v>COMPANHIA_PROVIDENCIA</v>
      </c>
      <c r="E7" s="35">
        <f>IFERROR(__xludf.DUMMYFUNCTION("""COMPUTED_VALUE"""),2.0210806E7)</f>
        <v>20210806</v>
      </c>
      <c r="F7" s="35" t="str">
        <f>IFERROR(__xludf.DUMMYFUNCTION("""COMPUTED_VALUE"""),"SUCCESS")</f>
        <v>SUCCESS</v>
      </c>
    </row>
    <row r="8">
      <c r="A8" s="35" t="str">
        <f>IFERROR(__xludf.DUMMYFUNCTION("""COMPUTED_VALUE"""),"117826 -09-08-2021-BARENTZ_B.V.pdf")</f>
        <v>117826 -09-08-2021-BARENTZ_B.V.pdf</v>
      </c>
      <c r="B8" s="35" t="str">
        <f>IFERROR(__xludf.DUMMYFUNCTION("""COMPUTED_VALUE"""),"117826-BARENTZ-20210809.pdf")</f>
        <v>117826-BARENTZ-20210809.pdf</v>
      </c>
      <c r="C8" s="35">
        <f>IFERROR(__xludf.DUMMYFUNCTION("""COMPUTED_VALUE"""),117826.0)</f>
        <v>117826</v>
      </c>
      <c r="D8" s="35" t="str">
        <f>IFERROR(__xludf.DUMMYFUNCTION("""COMPUTED_VALUE"""),"BARENTZ")</f>
        <v>BARENTZ</v>
      </c>
      <c r="E8" s="35">
        <f>IFERROR(__xludf.DUMMYFUNCTION("""COMPUTED_VALUE"""),2.0210809E7)</f>
        <v>20210809</v>
      </c>
      <c r="F8" s="35" t="str">
        <f>IFERROR(__xludf.DUMMYFUNCTION("""COMPUTED_VALUE"""),"SUCCESS")</f>
        <v>SUCCESS</v>
      </c>
    </row>
    <row r="9">
      <c r="A9" s="35" t="str">
        <f>IFERROR(__xludf.DUMMYFUNCTION("""COMPUTED_VALUE"""),"117826 -09-08-2021-BARENTZ_SERVICE_S.P..pdf")</f>
        <v>117826 -09-08-2021-BARENTZ_SERVICE_S.P..pdf</v>
      </c>
      <c r="B9" s="35" t="str">
        <f>IFERROR(__xludf.DUMMYFUNCTION("""COMPUTED_VALUE"""),"117826-BARENTZ-20210809.pdf")</f>
        <v>117826-BARENTZ-20210809.pdf</v>
      </c>
      <c r="C9" s="35">
        <f>IFERROR(__xludf.DUMMYFUNCTION("""COMPUTED_VALUE"""),117826.0)</f>
        <v>117826</v>
      </c>
      <c r="D9" s="35" t="str">
        <f>IFERROR(__xludf.DUMMYFUNCTION("""COMPUTED_VALUE"""),"BARENTZ")</f>
        <v>BARENTZ</v>
      </c>
      <c r="E9" s="35">
        <f>IFERROR(__xludf.DUMMYFUNCTION("""COMPUTED_VALUE"""),2.0210809E7)</f>
        <v>20210809</v>
      </c>
      <c r="F9" s="35" t="str">
        <f>IFERROR(__xludf.DUMMYFUNCTION("""COMPUTED_VALUE"""),"SUCCESS")</f>
        <v>SUCCESS</v>
      </c>
    </row>
    <row r="10">
      <c r="A10" s="35" t="str">
        <f>IFERROR(__xludf.DUMMYFUNCTION("""COMPUTED_VALUE"""),"117826 -09-08-2021-REDA_INDUSTRIAL_MATE.pdf")</f>
        <v>117826 -09-08-2021-REDA_INDUSTRIAL_MATE.pdf</v>
      </c>
      <c r="B10" s="35" t="str">
        <f>IFERROR(__xludf.DUMMYFUNCTION("""COMPUTED_VALUE"""),"117826-REDA_INDUSTRIAL-20210809.pdf")</f>
        <v>117826-REDA_INDUSTRIAL-20210809.pdf</v>
      </c>
      <c r="C10" s="35">
        <f>IFERROR(__xludf.DUMMYFUNCTION("""COMPUTED_VALUE"""),117826.0)</f>
        <v>117826</v>
      </c>
      <c r="D10" s="35" t="str">
        <f>IFERROR(__xludf.DUMMYFUNCTION("""COMPUTED_VALUE"""),"REDA_INDUSTRIAL")</f>
        <v>REDA_INDUSTRIAL</v>
      </c>
      <c r="E10" s="35">
        <f>IFERROR(__xludf.DUMMYFUNCTION("""COMPUTED_VALUE"""),2.0210809E7)</f>
        <v>20210809</v>
      </c>
      <c r="F10" s="35" t="str">
        <f>IFERROR(__xludf.DUMMYFUNCTION("""COMPUTED_VALUE"""),"SUCCESS")</f>
        <v>SUCCESS</v>
      </c>
    </row>
    <row r="11">
      <c r="A11" s="35" t="str">
        <f>IFERROR(__xludf.DUMMYFUNCTION("""COMPUTED_VALUE"""),"117826 -09-08-2021-SOLUCIONES_COSMETICA.pdf")</f>
        <v>117826 -09-08-2021-SOLUCIONES_COSMETICA.pdf</v>
      </c>
      <c r="B11" s="35" t="str">
        <f>IFERROR(__xludf.DUMMYFUNCTION("""COMPUTED_VALUE"""),"117826-SOLUCIONES_COSMETICA-20210809.pdf")</f>
        <v>117826-SOLUCIONES_COSMETICA-20210809.pdf</v>
      </c>
      <c r="C11" s="35">
        <f>IFERROR(__xludf.DUMMYFUNCTION("""COMPUTED_VALUE"""),117826.0)</f>
        <v>117826</v>
      </c>
      <c r="D11" s="35" t="str">
        <f>IFERROR(__xludf.DUMMYFUNCTION("""COMPUTED_VALUE"""),"SOLUCIONES_COSMETICA")</f>
        <v>SOLUCIONES_COSMETICA</v>
      </c>
      <c r="E11" s="35">
        <f>IFERROR(__xludf.DUMMYFUNCTION("""COMPUTED_VALUE"""),2.0210809E7)</f>
        <v>20210809</v>
      </c>
      <c r="F11" s="35" t="str">
        <f>IFERROR(__xludf.DUMMYFUNCTION("""COMPUTED_VALUE"""),"SUCCESS")</f>
        <v>SUCCESS</v>
      </c>
    </row>
    <row r="12">
      <c r="A12" s="35" t="str">
        <f>IFERROR(__xludf.DUMMYFUNCTION("""COMPUTED_VALUE"""),"117826 -13-02-2024-BARENTZ_HELLAS.pdf")</f>
        <v>117826 -13-02-2024-BARENTZ_HELLAS.pdf</v>
      </c>
      <c r="B12" s="35" t="str">
        <f>IFERROR(__xludf.DUMMYFUNCTION("""COMPUTED_VALUE"""),"117826-BARENTZ-20240213.pdf")</f>
        <v>117826-BARENTZ-20240213.pdf</v>
      </c>
      <c r="C12" s="35">
        <f>IFERROR(__xludf.DUMMYFUNCTION("""COMPUTED_VALUE"""),117826.0)</f>
        <v>117826</v>
      </c>
      <c r="D12" s="35" t="str">
        <f>IFERROR(__xludf.DUMMYFUNCTION("""COMPUTED_VALUE"""),"BARENTZ")</f>
        <v>BARENTZ</v>
      </c>
      <c r="E12" s="35">
        <f>IFERROR(__xludf.DUMMYFUNCTION("""COMPUTED_VALUE"""),2.0240213E7)</f>
        <v>20240213</v>
      </c>
      <c r="F12" s="35" t="str">
        <f>IFERROR(__xludf.DUMMYFUNCTION("""COMPUTED_VALUE"""),"SUCCESS")</f>
        <v>SUCCESS</v>
      </c>
    </row>
    <row r="13">
      <c r="A13" s="35" t="str">
        <f>IFERROR(__xludf.DUMMYFUNCTION("""COMPUTED_VALUE"""),"117826 -13-02-2024-BARENTZ_NORTH_AMERIC.pdf")</f>
        <v>117826 -13-02-2024-BARENTZ_NORTH_AMERIC.pdf</v>
      </c>
      <c r="B13" s="35" t="str">
        <f>IFERROR(__xludf.DUMMYFUNCTION("""COMPUTED_VALUE"""),"117826-BARENTZ-20240213.pdf")</f>
        <v>117826-BARENTZ-20240213.pdf</v>
      </c>
      <c r="C13" s="35">
        <f>IFERROR(__xludf.DUMMYFUNCTION("""COMPUTED_VALUE"""),117826.0)</f>
        <v>117826</v>
      </c>
      <c r="D13" s="35" t="str">
        <f>IFERROR(__xludf.DUMMYFUNCTION("""COMPUTED_VALUE"""),"BARENTZ")</f>
        <v>BARENTZ</v>
      </c>
      <c r="E13" s="35">
        <f>IFERROR(__xludf.DUMMYFUNCTION("""COMPUTED_VALUE"""),2.0240213E7)</f>
        <v>20240213</v>
      </c>
      <c r="F13" s="35" t="str">
        <f>IFERROR(__xludf.DUMMYFUNCTION("""COMPUTED_VALUE"""),"SUCCESS")</f>
        <v>SUCCESS</v>
      </c>
    </row>
    <row r="14">
      <c r="A14" s="35" t="str">
        <f>IFERROR(__xludf.DUMMYFUNCTION("""COMPUTED_VALUE"""),"117826 -15-01-2024-BARENTZ_Italia_S.p.A.pdf")</f>
        <v>117826 -15-01-2024-BARENTZ_Italia_S.p.A.pdf</v>
      </c>
      <c r="B14" s="35" t="str">
        <f>IFERROR(__xludf.DUMMYFUNCTION("""COMPUTED_VALUE"""),"117826-BARENTZ-20240115.pdf")</f>
        <v>117826-BARENTZ-20240115.pdf</v>
      </c>
      <c r="C14" s="35">
        <f>IFERROR(__xludf.DUMMYFUNCTION("""COMPUTED_VALUE"""),117826.0)</f>
        <v>117826</v>
      </c>
      <c r="D14" s="35" t="str">
        <f>IFERROR(__xludf.DUMMYFUNCTION("""COMPUTED_VALUE"""),"BARENTZ")</f>
        <v>BARENTZ</v>
      </c>
      <c r="E14" s="35">
        <f>IFERROR(__xludf.DUMMYFUNCTION("""COMPUTED_VALUE"""),2.0240115E7)</f>
        <v>20240115</v>
      </c>
      <c r="F14" s="35" t="str">
        <f>IFERROR(__xludf.DUMMYFUNCTION("""COMPUTED_VALUE"""),"SUCCESS")</f>
        <v>SUCCESS</v>
      </c>
    </row>
    <row r="15">
      <c r="A15" s="35" t="str">
        <f>IFERROR(__xludf.DUMMYFUNCTION("""COMPUTED_VALUE"""),"117826 -31-01-2024-BARENTZ_Italia_S.p.A.pdf")</f>
        <v>117826 -31-01-2024-BARENTZ_Italia_S.p.A.pdf</v>
      </c>
      <c r="B15" s="35" t="str">
        <f>IFERROR(__xludf.DUMMYFUNCTION("""COMPUTED_VALUE"""),"117826-BARENTZ-20240131.pdf")</f>
        <v>117826-BARENTZ-20240131.pdf</v>
      </c>
      <c r="C15" s="35">
        <f>IFERROR(__xludf.DUMMYFUNCTION("""COMPUTED_VALUE"""),117826.0)</f>
        <v>117826</v>
      </c>
      <c r="D15" s="35" t="str">
        <f>IFERROR(__xludf.DUMMYFUNCTION("""COMPUTED_VALUE"""),"BARENTZ")</f>
        <v>BARENTZ</v>
      </c>
      <c r="E15" s="35">
        <f>IFERROR(__xludf.DUMMYFUNCTION("""COMPUTED_VALUE"""),2.0240131E7)</f>
        <v>20240131</v>
      </c>
      <c r="F15" s="35" t="str">
        <f>IFERROR(__xludf.DUMMYFUNCTION("""COMPUTED_VALUE"""),"SUCCESS")</f>
        <v>SUCCESS</v>
      </c>
    </row>
    <row r="16">
      <c r="A16" s="35" t="str">
        <f>IFERROR(__xludf.DUMMYFUNCTION("""COMPUTED_VALUE"""),"134702.pdf")</f>
        <v>134702.pdf</v>
      </c>
      <c r="B16" s="35" t="str">
        <f>IFERROR(__xludf.DUMMYFUNCTION("""COMPUTED_VALUE"""),"134702-AGROMAYAL-20231227.pdf")</f>
        <v>134702-AGROMAYAL-20231227.pdf</v>
      </c>
      <c r="C16" s="35">
        <f>IFERROR(__xludf.DUMMYFUNCTION("""COMPUTED_VALUE"""),134702.0)</f>
        <v>134702</v>
      </c>
      <c r="D16" s="35" t="str">
        <f>IFERROR(__xludf.DUMMYFUNCTION("""COMPUTED_VALUE"""),"AGROMAYAL")</f>
        <v>AGROMAYAL</v>
      </c>
      <c r="E16" s="35">
        <f>IFERROR(__xludf.DUMMYFUNCTION("""COMPUTED_VALUE"""),2.0231227E7)</f>
        <v>20231227</v>
      </c>
      <c r="F16" s="35" t="str">
        <f>IFERROR(__xludf.DUMMYFUNCTION("""COMPUTED_VALUE"""),"SUCCESS")</f>
        <v>SUCCESS</v>
      </c>
    </row>
    <row r="17">
      <c r="A17" s="35" t="str">
        <f>IFERROR(__xludf.DUMMYFUNCTION("""COMPUTED_VALUE"""),"135427.pdf")</f>
        <v>135427.pdf</v>
      </c>
      <c r="B17" s="35" t="str">
        <f>IFERROR(__xludf.DUMMYFUNCTION("""COMPUTED_VALUE"""),"135427-AGROMAYAL-20240306.pdf")</f>
        <v>135427-AGROMAYAL-20240306.pdf</v>
      </c>
      <c r="C17" s="35">
        <f>IFERROR(__xludf.DUMMYFUNCTION("""COMPUTED_VALUE"""),135427.0)</f>
        <v>135427</v>
      </c>
      <c r="D17" s="35" t="str">
        <f>IFERROR(__xludf.DUMMYFUNCTION("""COMPUTED_VALUE"""),"AGROMAYAL")</f>
        <v>AGROMAYAL</v>
      </c>
      <c r="E17" s="35">
        <f>IFERROR(__xludf.DUMMYFUNCTION("""COMPUTED_VALUE"""),2.0240306E7)</f>
        <v>20240306</v>
      </c>
      <c r="F17" s="35" t="str">
        <f>IFERROR(__xludf.DUMMYFUNCTION("""COMPUTED_VALUE"""),"SUCCESS")</f>
        <v>SUCCESS</v>
      </c>
    </row>
    <row r="18">
      <c r="A18" s="35" t="str">
        <f>IFERROR(__xludf.DUMMYFUNCTION("""COMPUTED_VALUE"""),"136195.pdf")</f>
        <v>136195.pdf</v>
      </c>
      <c r="B18" s="35" t="str">
        <f>IFERROR(__xludf.DUMMYFUNCTION("""COMPUTED_VALUE"""),"136195-AGROMAYAL-20240527.pdf")</f>
        <v>136195-AGROMAYAL-20240527.pdf</v>
      </c>
      <c r="C18" s="35">
        <f>IFERROR(__xludf.DUMMYFUNCTION("""COMPUTED_VALUE"""),136195.0)</f>
        <v>136195</v>
      </c>
      <c r="D18" s="35" t="str">
        <f>IFERROR(__xludf.DUMMYFUNCTION("""COMPUTED_VALUE"""),"AGROMAYAL")</f>
        <v>AGROMAYAL</v>
      </c>
      <c r="E18" s="35">
        <f>IFERROR(__xludf.DUMMYFUNCTION("""COMPUTED_VALUE"""),2.0240527E7)</f>
        <v>20240527</v>
      </c>
      <c r="F18" s="35" t="str">
        <f>IFERROR(__xludf.DUMMYFUNCTION("""COMPUTED_VALUE"""),"SUCCESS")</f>
        <v>SUCCESS</v>
      </c>
    </row>
    <row r="19">
      <c r="A19" s="35" t="str">
        <f>IFERROR(__xludf.DUMMYFUNCTION("""COMPUTED_VALUE"""),"136195[1].pdf")</f>
        <v>136195[1].pdf</v>
      </c>
      <c r="B19" s="35" t="str">
        <f>IFERROR(__xludf.DUMMYFUNCTION("""COMPUTED_VALUE"""),"136195-AGROMAYAL-20240527.pdf")</f>
        <v>136195-AGROMAYAL-20240527.pdf</v>
      </c>
      <c r="C19" s="35">
        <f>IFERROR(__xludf.DUMMYFUNCTION("""COMPUTED_VALUE"""),136195.0)</f>
        <v>136195</v>
      </c>
      <c r="D19" s="35" t="str">
        <f>IFERROR(__xludf.DUMMYFUNCTION("""COMPUTED_VALUE"""),"AGROMAYAL")</f>
        <v>AGROMAYAL</v>
      </c>
      <c r="E19" s="35">
        <f>IFERROR(__xludf.DUMMYFUNCTION("""COMPUTED_VALUE"""),2.0240527E7)</f>
        <v>20240527</v>
      </c>
      <c r="F19" s="35" t="str">
        <f>IFERROR(__xludf.DUMMYFUNCTION("""COMPUTED_VALUE"""),"SUCCESS")</f>
        <v>SUCCESS</v>
      </c>
    </row>
    <row r="20">
      <c r="A20" s="35" t="str">
        <f>IFERROR(__xludf.DUMMYFUNCTION("""COMPUTED_VALUE"""),"136418.pdf")</f>
        <v>136418.pdf</v>
      </c>
      <c r="B20" s="35" t="str">
        <f>IFERROR(__xludf.DUMMYFUNCTION("""COMPUTED_VALUE"""),"136418-AGROMAYAL-20240618.pdf")</f>
        <v>136418-AGROMAYAL-20240618.pdf</v>
      </c>
      <c r="C20" s="35">
        <f>IFERROR(__xludf.DUMMYFUNCTION("""COMPUTED_VALUE"""),136418.0)</f>
        <v>136418</v>
      </c>
      <c r="D20" s="35" t="str">
        <f>IFERROR(__xludf.DUMMYFUNCTION("""COMPUTED_VALUE"""),"AGROMAYAL")</f>
        <v>AGROMAYAL</v>
      </c>
      <c r="E20" s="35">
        <f>IFERROR(__xludf.DUMMYFUNCTION("""COMPUTED_VALUE"""),2.0240618E7)</f>
        <v>20240618</v>
      </c>
      <c r="F20" s="35" t="str">
        <f>IFERROR(__xludf.DUMMYFUNCTION("""COMPUTED_VALUE"""),"SUCCESS")</f>
        <v>SUCCESS</v>
      </c>
    </row>
    <row r="21">
      <c r="A21" s="35" t="str">
        <f>IFERROR(__xludf.DUMMYFUNCTION("""COMPUTED_VALUE"""),"136571.pdf")</f>
        <v>136571.pdf</v>
      </c>
      <c r="B21" s="35" t="str">
        <f>IFERROR(__xludf.DUMMYFUNCTION("""COMPUTED_VALUE"""),"136571-AGROMAYAL-20240703.pdf")</f>
        <v>136571-AGROMAYAL-20240703.pdf</v>
      </c>
      <c r="C21" s="35">
        <f>IFERROR(__xludf.DUMMYFUNCTION("""COMPUTED_VALUE"""),136571.0)</f>
        <v>136571</v>
      </c>
      <c r="D21" s="35" t="str">
        <f>IFERROR(__xludf.DUMMYFUNCTION("""COMPUTED_VALUE"""),"AGROMAYAL")</f>
        <v>AGROMAYAL</v>
      </c>
      <c r="E21" s="35">
        <f>IFERROR(__xludf.DUMMYFUNCTION("""COMPUTED_VALUE"""),2.0240703E7)</f>
        <v>20240703</v>
      </c>
      <c r="F21" s="35" t="str">
        <f>IFERROR(__xludf.DUMMYFUNCTION("""COMPUTED_VALUE"""),"SUCCESS")</f>
        <v>SUCCESS</v>
      </c>
    </row>
    <row r="22">
      <c r="A22" s="35" t="str">
        <f>IFERROR(__xludf.DUMMYFUNCTION("""COMPUTED_VALUE"""),"136847.pdf")</f>
        <v>136847.pdf</v>
      </c>
      <c r="B22" s="35" t="str">
        <f>IFERROR(__xludf.DUMMYFUNCTION("""COMPUTED_VALUE"""),"136847-AGROMAYAL-20240801.pdf")</f>
        <v>136847-AGROMAYAL-20240801.pdf</v>
      </c>
      <c r="C22" s="35">
        <f>IFERROR(__xludf.DUMMYFUNCTION("""COMPUTED_VALUE"""),136847.0)</f>
        <v>136847</v>
      </c>
      <c r="D22" s="35" t="str">
        <f>IFERROR(__xludf.DUMMYFUNCTION("""COMPUTED_VALUE"""),"AGROMAYAL")</f>
        <v>AGROMAYAL</v>
      </c>
      <c r="E22" s="35">
        <f>IFERROR(__xludf.DUMMYFUNCTION("""COMPUTED_VALUE"""),2.0240801E7)</f>
        <v>20240801</v>
      </c>
      <c r="F22" s="35" t="str">
        <f>IFERROR(__xludf.DUMMYFUNCTION("""COMPUTED_VALUE"""),"SUCCESS")</f>
        <v>SUCCESS</v>
      </c>
    </row>
    <row r="23">
      <c r="A23" s="35" t="str">
        <f>IFERROR(__xludf.DUMMYFUNCTION("""COMPUTED_VALUE"""),"137096.pdf")</f>
        <v>137096.pdf</v>
      </c>
      <c r="B23" s="35" t="str">
        <f>IFERROR(__xludf.DUMMYFUNCTION("""COMPUTED_VALUE"""),"137096-AGROMAYAL-20240827.pdf")</f>
        <v>137096-AGROMAYAL-20240827.pdf</v>
      </c>
      <c r="C23" s="35">
        <f>IFERROR(__xludf.DUMMYFUNCTION("""COMPUTED_VALUE"""),137096.0)</f>
        <v>137096</v>
      </c>
      <c r="D23" s="35" t="str">
        <f>IFERROR(__xludf.DUMMYFUNCTION("""COMPUTED_VALUE"""),"AGROMAYAL")</f>
        <v>AGROMAYAL</v>
      </c>
      <c r="E23" s="35">
        <f>IFERROR(__xludf.DUMMYFUNCTION("""COMPUTED_VALUE"""),2.0240827E7)</f>
        <v>20240827</v>
      </c>
      <c r="F23" s="35" t="str">
        <f>IFERROR(__xludf.DUMMYFUNCTION("""COMPUTED_VALUE"""),"SUCCESS")</f>
        <v>SUCCESS</v>
      </c>
    </row>
    <row r="24">
      <c r="A24" s="35" t="str">
        <f>IFERROR(__xludf.DUMMYFUNCTION("""COMPUTED_VALUE"""),"137096[1].pdf")</f>
        <v>137096[1].pdf</v>
      </c>
      <c r="B24" s="35" t="str">
        <f>IFERROR(__xludf.DUMMYFUNCTION("""COMPUTED_VALUE"""),"137096-AGROMAYAL-20240827.pdf")</f>
        <v>137096-AGROMAYAL-20240827.pdf</v>
      </c>
      <c r="C24" s="35">
        <f>IFERROR(__xludf.DUMMYFUNCTION("""COMPUTED_VALUE"""),137096.0)</f>
        <v>137096</v>
      </c>
      <c r="D24" s="35" t="str">
        <f>IFERROR(__xludf.DUMMYFUNCTION("""COMPUTED_VALUE"""),"AGROMAYAL")</f>
        <v>AGROMAYAL</v>
      </c>
      <c r="E24" s="35">
        <f>IFERROR(__xludf.DUMMYFUNCTION("""COMPUTED_VALUE"""),2.0240827E7)</f>
        <v>20240827</v>
      </c>
      <c r="F24" s="35" t="str">
        <f>IFERROR(__xludf.DUMMYFUNCTION("""COMPUTED_VALUE"""),"SUCCESS")</f>
        <v>SUCCESS</v>
      </c>
    </row>
    <row r="25">
      <c r="A25" s="35" t="str">
        <f>IFERROR(__xludf.DUMMYFUNCTION("""COMPUTED_VALUE"""),"17981.pdf")</f>
        <v>17981.pdf</v>
      </c>
      <c r="B25" s="35" t="str">
        <f>IFERROR(__xludf.DUMMYFUNCTION("""COMPUTED_VALUE"""),"17981-AGROMAYAL-20240705.pdf")</f>
        <v>17981-AGROMAYAL-20240705.pdf</v>
      </c>
      <c r="C25" s="35">
        <f>IFERROR(__xludf.DUMMYFUNCTION("""COMPUTED_VALUE"""),17981.0)</f>
        <v>17981</v>
      </c>
      <c r="D25" s="35" t="str">
        <f>IFERROR(__xludf.DUMMYFUNCTION("""COMPUTED_VALUE"""),"AGROMAYAL")</f>
        <v>AGROMAYAL</v>
      </c>
      <c r="E25" s="35">
        <f>IFERROR(__xludf.DUMMYFUNCTION("""COMPUTED_VALUE"""),2.0240705E7)</f>
        <v>20240705</v>
      </c>
      <c r="F25" s="35" t="str">
        <f>IFERROR(__xludf.DUMMYFUNCTION("""COMPUTED_VALUE"""),"SUCCESS")</f>
        <v>SUCCESS</v>
      </c>
    </row>
    <row r="26">
      <c r="A26" s="35" t="str">
        <f>IFERROR(__xludf.DUMMYFUNCTION("""COMPUTED_VALUE"""),"17992.pdf")</f>
        <v>17992.pdf</v>
      </c>
      <c r="B26" s="35" t="str">
        <f>IFERROR(__xludf.DUMMYFUNCTION("""COMPUTED_VALUE"""),"17992-AGROMAYAL-20240725.pdf")</f>
        <v>17992-AGROMAYAL-20240725.pdf</v>
      </c>
      <c r="C26" s="35">
        <f>IFERROR(__xludf.DUMMYFUNCTION("""COMPUTED_VALUE"""),17992.0)</f>
        <v>17992</v>
      </c>
      <c r="D26" s="35" t="str">
        <f>IFERROR(__xludf.DUMMYFUNCTION("""COMPUTED_VALUE"""),"AGROMAYAL")</f>
        <v>AGROMAYAL</v>
      </c>
      <c r="E26" s="35">
        <f>IFERROR(__xludf.DUMMYFUNCTION("""COMPUTED_VALUE"""),2.0240725E7)</f>
        <v>20240725</v>
      </c>
      <c r="F26" s="35" t="str">
        <f>IFERROR(__xludf.DUMMYFUNCTION("""COMPUTED_VALUE"""),"SUCCESS")</f>
        <v>SUCCESS</v>
      </c>
    </row>
    <row r="27">
      <c r="A27" s="35" t="str">
        <f>IFERROR(__xludf.DUMMYFUNCTION("""COMPUTED_VALUE"""),"18025.pdf")</f>
        <v>18025.pdf</v>
      </c>
      <c r="B27" s="35" t="str">
        <f>IFERROR(__xludf.DUMMYFUNCTION("""COMPUTED_VALUE"""),"18025-AGROMAYAL-20240827.pdf")</f>
        <v>18025-AGROMAYAL-20240827.pdf</v>
      </c>
      <c r="C27" s="35">
        <f>IFERROR(__xludf.DUMMYFUNCTION("""COMPUTED_VALUE"""),18025.0)</f>
        <v>18025</v>
      </c>
      <c r="D27" s="35" t="str">
        <f>IFERROR(__xludf.DUMMYFUNCTION("""COMPUTED_VALUE"""),"AGROMAYAL")</f>
        <v>AGROMAYAL</v>
      </c>
      <c r="E27" s="35">
        <f>IFERROR(__xludf.DUMMYFUNCTION("""COMPUTED_VALUE"""),2.0240827E7)</f>
        <v>20240827</v>
      </c>
      <c r="F27" s="35" t="str">
        <f>IFERROR(__xludf.DUMMYFUNCTION("""COMPUTED_VALUE"""),"SUCCESS")</f>
        <v>SUCCESS</v>
      </c>
    </row>
    <row r="28">
      <c r="A28" s="35" t="str">
        <f>IFERROR(__xludf.DUMMYFUNCTION("""COMPUTED_VALUE"""),"18025[1].pdf")</f>
        <v>18025[1].pdf</v>
      </c>
      <c r="B28" s="35" t="str">
        <f>IFERROR(__xludf.DUMMYFUNCTION("""COMPUTED_VALUE"""),"18025-AGROMAYAL-20240827.pdf")</f>
        <v>18025-AGROMAYAL-20240827.pdf</v>
      </c>
      <c r="C28" s="35">
        <f>IFERROR(__xludf.DUMMYFUNCTION("""COMPUTED_VALUE"""),18025.0)</f>
        <v>18025</v>
      </c>
      <c r="D28" s="35" t="str">
        <f>IFERROR(__xludf.DUMMYFUNCTION("""COMPUTED_VALUE"""),"AGROMAYAL")</f>
        <v>AGROMAYAL</v>
      </c>
      <c r="E28" s="35">
        <f>IFERROR(__xludf.DUMMYFUNCTION("""COMPUTED_VALUE"""),2.0240827E7)</f>
        <v>20240827</v>
      </c>
      <c r="F28" s="35" t="str">
        <f>IFERROR(__xludf.DUMMYFUNCTION("""COMPUTED_VALUE"""),"SUCCESS")</f>
        <v>SUCCESS</v>
      </c>
    </row>
    <row r="29">
      <c r="A29" s="35" t="str">
        <f>IFERROR(__xludf.DUMMYFUNCTION("""COMPUTED_VALUE"""),"2024-52393-55592.pdf")</f>
        <v>2024-52393-55592.pdf</v>
      </c>
      <c r="B29" s="35" t="str">
        <f>IFERROR(__xludf.DUMMYFUNCTION("""COMPUTED_VALUE"""),"2024-52393-55592-UNKNOWN-20240101.pdf")</f>
        <v>2024-52393-55592-UNKNOWN-20240101.pdf</v>
      </c>
      <c r="C29" s="35" t="str">
        <f>IFERROR(__xludf.DUMMYFUNCTION("""COMPUTED_VALUE"""),"2024-52393-55592")</f>
        <v>2024-52393-55592</v>
      </c>
      <c r="D29" s="35" t="str">
        <f>IFERROR(__xludf.DUMMYFUNCTION("""COMPUTED_VALUE"""),"UNKNOWN")</f>
        <v>UNKNOWN</v>
      </c>
      <c r="E29" s="35">
        <f>IFERROR(__xludf.DUMMYFUNCTION("""COMPUTED_VALUE"""),2.0240101E7)</f>
        <v>20240101</v>
      </c>
      <c r="F29" s="35" t="str">
        <f>IFERROR(__xludf.DUMMYFUNCTION("""COMPUTED_VALUE"""),"SUCCESS")</f>
        <v>SUCCESS</v>
      </c>
    </row>
    <row r="30">
      <c r="A30" s="35" t="str">
        <f>IFERROR(__xludf.DUMMYFUNCTION("""COMPUTED_VALUE"""),"2024-58496-62059.pdf")</f>
        <v>2024-58496-62059.pdf</v>
      </c>
      <c r="B30" s="35" t="str">
        <f>IFERROR(__xludf.DUMMYFUNCTION("""COMPUTED_VALUE"""),"2024-58496-62059-UNKNOWN-20240101.pdf")</f>
        <v>2024-58496-62059-UNKNOWN-20240101.pdf</v>
      </c>
      <c r="C30" s="35" t="str">
        <f>IFERROR(__xludf.DUMMYFUNCTION("""COMPUTED_VALUE"""),"2024-58496-62059")</f>
        <v>2024-58496-62059</v>
      </c>
      <c r="D30" s="35" t="str">
        <f>IFERROR(__xludf.DUMMYFUNCTION("""COMPUTED_VALUE"""),"UNKNOWN")</f>
        <v>UNKNOWN</v>
      </c>
      <c r="E30" s="35">
        <f>IFERROR(__xludf.DUMMYFUNCTION("""COMPUTED_VALUE"""),2.0240101E7)</f>
        <v>20240101</v>
      </c>
      <c r="F30" s="35" t="str">
        <f>IFERROR(__xludf.DUMMYFUNCTION("""COMPUTED_VALUE"""),"SUCCESS")</f>
        <v>SUCCESS</v>
      </c>
    </row>
    <row r="31">
      <c r="A31" s="35" t="str">
        <f>IFERROR(__xludf.DUMMYFUNCTION("""COMPUTED_VALUE"""),"20240313151200039.pdf")</f>
        <v>20240313151200039.pdf</v>
      </c>
      <c r="B31" s="35"/>
      <c r="C31" s="35"/>
      <c r="D31" s="35"/>
      <c r="E31" s="35"/>
      <c r="F31" s="35" t="str">
        <f>IFERROR(__xludf.DUMMYFUNCTION("""COMPUTED_VALUE"""),"FAILED")</f>
        <v>FAILED</v>
      </c>
    </row>
    <row r="32">
      <c r="A32" s="35" t="str">
        <f>IFERROR(__xludf.DUMMYFUNCTION("""COMPUTED_VALUE"""),"20240313151200039[1].pdf")</f>
        <v>20240313151200039[1].pdf</v>
      </c>
      <c r="B32" s="35"/>
      <c r="C32" s="35"/>
      <c r="D32" s="35"/>
      <c r="E32" s="35"/>
      <c r="F32" s="35" t="str">
        <f>IFERROR(__xludf.DUMMYFUNCTION("""COMPUTED_VALUE"""),"FAILED")</f>
        <v>FAILED</v>
      </c>
    </row>
    <row r="33">
      <c r="A33" s="35" t="str">
        <f>IFERROR(__xludf.DUMMYFUNCTION("""COMPUTED_VALUE"""),"20240408114745711.pdf")</f>
        <v>20240408114745711.pdf</v>
      </c>
      <c r="B33" s="35"/>
      <c r="C33" s="35"/>
      <c r="D33" s="35"/>
      <c r="E33" s="35"/>
      <c r="F33" s="35" t="str">
        <f>IFERROR(__xludf.DUMMYFUNCTION("""COMPUTED_VALUE"""),"FAILED")</f>
        <v>FAILED</v>
      </c>
    </row>
    <row r="34">
      <c r="A34" s="35" t="str">
        <f>IFERROR(__xludf.DUMMYFUNCTION("""COMPUTED_VALUE"""),"20241003_093117.pdf")</f>
        <v>20241003_093117.pdf</v>
      </c>
      <c r="B34" s="35"/>
      <c r="C34" s="35"/>
      <c r="D34" s="35"/>
      <c r="E34" s="35"/>
      <c r="F34" s="35" t="str">
        <f>IFERROR(__xludf.DUMMYFUNCTION("""COMPUTED_VALUE"""),"FAILED")</f>
        <v>FAILED</v>
      </c>
    </row>
    <row r="35">
      <c r="A35" s="35" t="str">
        <f>IFERROR(__xludf.DUMMYFUNCTION("""COMPUTED_VALUE"""),"20241105_170358.pdf")</f>
        <v>20241105_170358.pdf</v>
      </c>
      <c r="B35" s="35"/>
      <c r="C35" s="35"/>
      <c r="D35" s="35"/>
      <c r="E35" s="35"/>
      <c r="F35" s="35" t="str">
        <f>IFERROR(__xludf.DUMMYFUNCTION("""COMPUTED_VALUE"""),"FAILED")</f>
        <v>FAILED</v>
      </c>
    </row>
    <row r="36">
      <c r="A36" s="35" t="str">
        <f>IFERROR(__xludf.DUMMYFUNCTION("""COMPUTED_VALUE"""),"22-09-08-2021-Parfusale_AB.pdf")</f>
        <v>22-09-08-2021-Parfusale_AB.pdf</v>
      </c>
      <c r="B36" s="35"/>
      <c r="C36" s="35"/>
      <c r="D36" s="35"/>
      <c r="E36" s="35"/>
      <c r="F36" s="35" t="str">
        <f>IFERROR(__xludf.DUMMYFUNCTION("""COMPUTED_VALUE"""),"FAILED")</f>
        <v>FAILED</v>
      </c>
    </row>
    <row r="37">
      <c r="A37" s="35" t="str">
        <f>IFERROR(__xludf.DUMMYFUNCTION("""COMPUTED_VALUE"""),"22.pdf")</f>
        <v>22.pdf</v>
      </c>
      <c r="B37" s="35"/>
      <c r="C37" s="35"/>
      <c r="D37" s="35"/>
      <c r="E37" s="35"/>
      <c r="F37" s="35" t="str">
        <f>IFERROR(__xludf.DUMMYFUNCTION("""COMPUTED_VALUE"""),"FAILED")</f>
        <v>FAILED</v>
      </c>
    </row>
    <row r="38">
      <c r="A38" s="35" t="str">
        <f>IFERROR(__xludf.DUMMYFUNCTION("""COMPUTED_VALUE"""),"224.pdf")</f>
        <v>224.pdf</v>
      </c>
      <c r="B38" s="35"/>
      <c r="C38" s="35"/>
      <c r="D38" s="35"/>
      <c r="E38" s="35"/>
      <c r="F38" s="35" t="str">
        <f>IFERROR(__xludf.DUMMYFUNCTION("""COMPUTED_VALUE"""),"FAILED")</f>
        <v>FAILED</v>
      </c>
    </row>
    <row r="39">
      <c r="A39" s="35" t="str">
        <f>IFERROR(__xludf.DUMMYFUNCTION("""COMPUTED_VALUE"""),"2249500221-13-02-2024-BARENTZ..pdf")</f>
        <v>2249500221-13-02-2024-BARENTZ..pdf</v>
      </c>
      <c r="B39" s="35" t="str">
        <f>IFERROR(__xludf.DUMMYFUNCTION("""COMPUTED_VALUE"""),"35078-BARENTZ-20240213.pdf")</f>
        <v>35078-BARENTZ-20240213.pdf</v>
      </c>
      <c r="C39" s="35">
        <f>IFERROR(__xludf.DUMMYFUNCTION("""COMPUTED_VALUE"""),35078.0)</f>
        <v>35078</v>
      </c>
      <c r="D39" s="35" t="str">
        <f>IFERROR(__xludf.DUMMYFUNCTION("""COMPUTED_VALUE"""),"BARENTZ")</f>
        <v>BARENTZ</v>
      </c>
      <c r="E39" s="35">
        <f>IFERROR(__xludf.DUMMYFUNCTION("""COMPUTED_VALUE"""),2.0240213E7)</f>
        <v>20240213</v>
      </c>
      <c r="F39" s="35" t="str">
        <f>IFERROR(__xludf.DUMMYFUNCTION("""COMPUTED_VALUE"""),"SUCCESS")</f>
        <v>SUCCESS</v>
      </c>
    </row>
    <row r="40">
      <c r="A40" s="35" t="str">
        <f>IFERROR(__xludf.DUMMYFUNCTION("""COMPUTED_VALUE"""),"2249500221-22-01-2024-BARENTZ..pdf")</f>
        <v>2249500221-22-01-2024-BARENTZ..pdf</v>
      </c>
      <c r="B40" s="35" t="str">
        <f>IFERROR(__xludf.DUMMYFUNCTION("""COMPUTED_VALUE"""),"35078-BARENTZ-20240122.pdf")</f>
        <v>35078-BARENTZ-20240122.pdf</v>
      </c>
      <c r="C40" s="35">
        <f>IFERROR(__xludf.DUMMYFUNCTION("""COMPUTED_VALUE"""),35078.0)</f>
        <v>35078</v>
      </c>
      <c r="D40" s="35" t="str">
        <f>IFERROR(__xludf.DUMMYFUNCTION("""COMPUTED_VALUE"""),"BARENTZ")</f>
        <v>BARENTZ</v>
      </c>
      <c r="E40" s="35">
        <f>IFERROR(__xludf.DUMMYFUNCTION("""COMPUTED_VALUE"""),2.0240122E7)</f>
        <v>20240122</v>
      </c>
      <c r="F40" s="35" t="str">
        <f>IFERROR(__xludf.DUMMYFUNCTION("""COMPUTED_VALUE"""),"SUCCESS")</f>
        <v>SUCCESS</v>
      </c>
    </row>
    <row r="41">
      <c r="A41" s="35" t="str">
        <f>IFERROR(__xludf.DUMMYFUNCTION("""COMPUTED_VALUE"""),"2249500221.pdf")</f>
        <v>2249500221.pdf</v>
      </c>
      <c r="B41" s="35" t="str">
        <f>IFERROR(__xludf.DUMMYFUNCTION("""COMPUTED_VALUE"""),"2249500221-BARENTZ-20240101.pdf")</f>
        <v>2249500221-BARENTZ-20240101.pdf</v>
      </c>
      <c r="C41" s="35">
        <f>IFERROR(__xludf.DUMMYFUNCTION("""COMPUTED_VALUE"""),2.249500221E9)</f>
        <v>2249500221</v>
      </c>
      <c r="D41" s="35" t="str">
        <f>IFERROR(__xludf.DUMMYFUNCTION("""COMPUTED_VALUE"""),"BARENTZ")</f>
        <v>BARENTZ</v>
      </c>
      <c r="E41" s="35">
        <f>IFERROR(__xludf.DUMMYFUNCTION("""COMPUTED_VALUE"""),2.0240101E7)</f>
        <v>20240101</v>
      </c>
      <c r="F41" s="35" t="str">
        <f>IFERROR(__xludf.DUMMYFUNCTION("""COMPUTED_VALUE"""),"SUCCESS")</f>
        <v>SUCCESS</v>
      </c>
    </row>
    <row r="42">
      <c r="A42" s="35" t="str">
        <f>IFERROR(__xludf.DUMMYFUNCTION("""COMPUTED_VALUE"""),"2249500586.pdf")</f>
        <v>2249500586.pdf</v>
      </c>
      <c r="B42" s="35" t="str">
        <f>IFERROR(__xludf.DUMMYFUNCTION("""COMPUTED_VALUE"""),"2249500586-BARENTZ-20240101.pdf")</f>
        <v>2249500586-BARENTZ-20240101.pdf</v>
      </c>
      <c r="C42" s="35">
        <f>IFERROR(__xludf.DUMMYFUNCTION("""COMPUTED_VALUE"""),2.249500586E9)</f>
        <v>2249500586</v>
      </c>
      <c r="D42" s="35" t="str">
        <f>IFERROR(__xludf.DUMMYFUNCTION("""COMPUTED_VALUE"""),"BARENTZ")</f>
        <v>BARENTZ</v>
      </c>
      <c r="E42" s="35">
        <f>IFERROR(__xludf.DUMMYFUNCTION("""COMPUTED_VALUE"""),2.0240101E7)</f>
        <v>20240101</v>
      </c>
      <c r="F42" s="35" t="str">
        <f>IFERROR(__xludf.DUMMYFUNCTION("""COMPUTED_VALUE"""),"SUCCESS")</f>
        <v>SUCCESS</v>
      </c>
    </row>
    <row r="43">
      <c r="A43" s="35" t="str">
        <f>IFERROR(__xludf.DUMMYFUNCTION("""COMPUTED_VALUE"""),"2249500698.pdf")</f>
        <v>2249500698.pdf</v>
      </c>
      <c r="B43" s="35" t="str">
        <f>IFERROR(__xludf.DUMMYFUNCTION("""COMPUTED_VALUE"""),"2249500698-BARENTZ-20240101.pdf")</f>
        <v>2249500698-BARENTZ-20240101.pdf</v>
      </c>
      <c r="C43" s="35">
        <f>IFERROR(__xludf.DUMMYFUNCTION("""COMPUTED_VALUE"""),2.249500698E9)</f>
        <v>2249500698</v>
      </c>
      <c r="D43" s="35" t="str">
        <f>IFERROR(__xludf.DUMMYFUNCTION("""COMPUTED_VALUE"""),"BARENTZ")</f>
        <v>BARENTZ</v>
      </c>
      <c r="E43" s="35">
        <f>IFERROR(__xludf.DUMMYFUNCTION("""COMPUTED_VALUE"""),2.0240101E7)</f>
        <v>20240101</v>
      </c>
      <c r="F43" s="35" t="str">
        <f>IFERROR(__xludf.DUMMYFUNCTION("""COMPUTED_VALUE"""),"SUCCESS")</f>
        <v>SUCCESS</v>
      </c>
    </row>
    <row r="44">
      <c r="A44" s="35" t="str">
        <f>IFERROR(__xludf.DUMMYFUNCTION("""COMPUTED_VALUE"""),"2249500730.pdf")</f>
        <v>2249500730.pdf</v>
      </c>
      <c r="B44" s="35" t="str">
        <f>IFERROR(__xludf.DUMMYFUNCTION("""COMPUTED_VALUE"""),"2249500730-BARENTZ-20240101.pdf")</f>
        <v>2249500730-BARENTZ-20240101.pdf</v>
      </c>
      <c r="C44" s="35">
        <f>IFERROR(__xludf.DUMMYFUNCTION("""COMPUTED_VALUE"""),2.24950073E9)</f>
        <v>2249500730</v>
      </c>
      <c r="D44" s="35" t="str">
        <f>IFERROR(__xludf.DUMMYFUNCTION("""COMPUTED_VALUE"""),"BARENTZ")</f>
        <v>BARENTZ</v>
      </c>
      <c r="E44" s="35">
        <f>IFERROR(__xludf.DUMMYFUNCTION("""COMPUTED_VALUE"""),2.0240101E7)</f>
        <v>20240101</v>
      </c>
      <c r="F44" s="35" t="str">
        <f>IFERROR(__xludf.DUMMYFUNCTION("""COMPUTED_VALUE"""),"SUCCESS")</f>
        <v>SUCCESS</v>
      </c>
    </row>
    <row r="45">
      <c r="A45" s="35" t="str">
        <f>IFERROR(__xludf.DUMMYFUNCTION("""COMPUTED_VALUE"""),"2410016-06-08-2021-ALBAAD_DEUTSCHLAND_G.pdf")</f>
        <v>2410016-06-08-2021-ALBAAD_DEUTSCHLAND_G.pdf</v>
      </c>
      <c r="B45" s="35"/>
      <c r="C45" s="35"/>
      <c r="D45" s="35"/>
      <c r="E45" s="35"/>
      <c r="F45" s="35" t="str">
        <f>IFERROR(__xludf.DUMMYFUNCTION("""COMPUTED_VALUE"""),"FAILED")</f>
        <v>FAILED</v>
      </c>
    </row>
    <row r="46">
      <c r="A46" s="35" t="str">
        <f>IFERROR(__xludf.DUMMYFUNCTION("""COMPUTED_VALUE"""),"2410016-15-01-2024-ALBAAD_DEUTSCHLAND_G.pdf")</f>
        <v>2410016-15-01-2024-ALBAAD_DEUTSCHLAND_G.pdf</v>
      </c>
      <c r="B46" s="35"/>
      <c r="C46" s="35"/>
      <c r="D46" s="35"/>
      <c r="E46" s="35"/>
      <c r="F46" s="35" t="str">
        <f>IFERROR(__xludf.DUMMYFUNCTION("""COMPUTED_VALUE"""),"FAILED")</f>
        <v>FAILED</v>
      </c>
    </row>
    <row r="47">
      <c r="A47" s="35" t="str">
        <f>IFERROR(__xludf.DUMMYFUNCTION("""COMPUTED_VALUE"""),"2410016-31-01-2024-ALBAAD_DEUTSCHLAND_G.pdf")</f>
        <v>2410016-31-01-2024-ALBAAD_DEUTSCHLAND_G.pdf</v>
      </c>
      <c r="B47" s="35"/>
      <c r="C47" s="35"/>
      <c r="D47" s="35"/>
      <c r="E47" s="35"/>
      <c r="F47" s="35" t="str">
        <f>IFERROR(__xludf.DUMMYFUNCTION("""COMPUTED_VALUE"""),"FAILED")</f>
        <v>FAILED</v>
      </c>
    </row>
    <row r="48">
      <c r="A48" s="35" t="str">
        <f>IFERROR(__xludf.DUMMYFUNCTION("""COMPUTED_VALUE"""),"2410016.pdf")</f>
        <v>2410016.pdf</v>
      </c>
      <c r="B48" s="35" t="str">
        <f>IFERROR(__xludf.DUMMYFUNCTION("""COMPUTED_VALUE"""),"2410016-AMB_WELLNESS-20240101.pdf")</f>
        <v>2410016-AMB_WELLNESS-20240101.pdf</v>
      </c>
      <c r="C48" s="35">
        <f>IFERROR(__xludf.DUMMYFUNCTION("""COMPUTED_VALUE"""),2410016.0)</f>
        <v>2410016</v>
      </c>
      <c r="D48" s="35" t="str">
        <f>IFERROR(__xludf.DUMMYFUNCTION("""COMPUTED_VALUE"""),"AMB_WELLNESS")</f>
        <v>AMB_WELLNESS</v>
      </c>
      <c r="E48" s="35">
        <f>IFERROR(__xludf.DUMMYFUNCTION("""COMPUTED_VALUE"""),2.0240101E7)</f>
        <v>20240101</v>
      </c>
      <c r="F48" s="35" t="str">
        <f>IFERROR(__xludf.DUMMYFUNCTION("""COMPUTED_VALUE"""),"SUCCESS")</f>
        <v>SUCCESS</v>
      </c>
    </row>
    <row r="49">
      <c r="A49" s="35" t="str">
        <f>IFERROR(__xludf.DUMMYFUNCTION("""COMPUTED_VALUE"""),"258.pdf")</f>
        <v>258.pdf</v>
      </c>
      <c r="B49" s="35"/>
      <c r="C49" s="35"/>
      <c r="D49" s="35"/>
      <c r="E49" s="35"/>
      <c r="F49" s="35" t="str">
        <f>IFERROR(__xludf.DUMMYFUNCTION("""COMPUTED_VALUE"""),"FAILED")</f>
        <v>FAILED</v>
      </c>
    </row>
    <row r="50">
      <c r="A50" s="35" t="str">
        <f>IFERROR(__xludf.DUMMYFUNCTION("""COMPUTED_VALUE"""),"42110-09-08-2021-PGI_ARGENTINA_S.A.pdf")</f>
        <v>42110-09-08-2021-PGI_ARGENTINA_S.A.pdf</v>
      </c>
      <c r="B50" s="35" t="str">
        <f>IFERROR(__xludf.DUMMYFUNCTION("""COMPUTED_VALUE"""),"42110-PGI_ARGENTINA-20210809.pdf")</f>
        <v>42110-PGI_ARGENTINA-20210809.pdf</v>
      </c>
      <c r="C50" s="35">
        <f>IFERROR(__xludf.DUMMYFUNCTION("""COMPUTED_VALUE"""),42110.0)</f>
        <v>42110</v>
      </c>
      <c r="D50" s="35" t="str">
        <f>IFERROR(__xludf.DUMMYFUNCTION("""COMPUTED_VALUE"""),"PGI_ARGENTINA")</f>
        <v>PGI_ARGENTINA</v>
      </c>
      <c r="E50" s="35">
        <f>IFERROR(__xludf.DUMMYFUNCTION("""COMPUTED_VALUE"""),2.0210809E7)</f>
        <v>20210809</v>
      </c>
      <c r="F50" s="35" t="str">
        <f>IFERROR(__xludf.DUMMYFUNCTION("""COMPUTED_VALUE"""),"SUCCESS")</f>
        <v>SUCCESS</v>
      </c>
    </row>
    <row r="51">
      <c r="A51" s="35" t="str">
        <f>IFERROR(__xludf.DUMMYFUNCTION("""COMPUTED_VALUE"""),"42110.pdf")</f>
        <v>42110.pdf</v>
      </c>
      <c r="B51" s="35" t="str">
        <f>IFERROR(__xludf.DUMMYFUNCTION("""COMPUTED_VALUE"""),"42110-BERRY-20240101.pdf")</f>
        <v>42110-BERRY-20240101.pdf</v>
      </c>
      <c r="C51" s="35">
        <f>IFERROR(__xludf.DUMMYFUNCTION("""COMPUTED_VALUE"""),42110.0)</f>
        <v>42110</v>
      </c>
      <c r="D51" s="35" t="str">
        <f>IFERROR(__xludf.DUMMYFUNCTION("""COMPUTED_VALUE"""),"BERRY")</f>
        <v>BERRY</v>
      </c>
      <c r="E51" s="35">
        <f>IFERROR(__xludf.DUMMYFUNCTION("""COMPUTED_VALUE"""),2.0240101E7)</f>
        <v>20240101</v>
      </c>
      <c r="F51" s="35" t="str">
        <f>IFERROR(__xludf.DUMMYFUNCTION("""COMPUTED_VALUE"""),"SUCCESS")</f>
        <v>SUCCESS</v>
      </c>
    </row>
    <row r="52">
      <c r="A52" s="35" t="str">
        <f>IFERROR(__xludf.DUMMYFUNCTION("""COMPUTED_VALUE"""),"4500053155.PDF")</f>
        <v>4500053155.PDF</v>
      </c>
      <c r="B52" s="35" t="str">
        <f>IFERROR(__xludf.DUMMYFUNCTION("""COMPUTED_VALUE"""),"4500053155-AMB_WELLNESS-20240101.pdf")</f>
        <v>4500053155-AMB_WELLNESS-20240101.pdf</v>
      </c>
      <c r="C52" s="35">
        <f>IFERROR(__xludf.DUMMYFUNCTION("""COMPUTED_VALUE"""),4.500053155E9)</f>
        <v>4500053155</v>
      </c>
      <c r="D52" s="35" t="str">
        <f>IFERROR(__xludf.DUMMYFUNCTION("""COMPUTED_VALUE"""),"AMB_WELLNESS")</f>
        <v>AMB_WELLNESS</v>
      </c>
      <c r="E52" s="35">
        <f>IFERROR(__xludf.DUMMYFUNCTION("""COMPUTED_VALUE"""),2.0240101E7)</f>
        <v>20240101</v>
      </c>
      <c r="F52" s="35" t="str">
        <f>IFERROR(__xludf.DUMMYFUNCTION("""COMPUTED_VALUE"""),"SUCCESS")</f>
        <v>SUCCESS</v>
      </c>
    </row>
    <row r="53">
      <c r="A53" s="35" t="str">
        <f>IFERROR(__xludf.DUMMYFUNCTION("""COMPUTED_VALUE"""),"4500517803.PDF")</f>
        <v>4500517803.PDF</v>
      </c>
      <c r="B53" s="35" t="str">
        <f>IFERROR(__xludf.DUMMYFUNCTION("""COMPUTED_VALUE"""),"4500517803-BERRY-20240101.pdf")</f>
        <v>4500517803-BERRY-20240101.pdf</v>
      </c>
      <c r="C53" s="35">
        <f>IFERROR(__xludf.DUMMYFUNCTION("""COMPUTED_VALUE"""),4.500517803E9)</f>
        <v>4500517803</v>
      </c>
      <c r="D53" s="35" t="str">
        <f>IFERROR(__xludf.DUMMYFUNCTION("""COMPUTED_VALUE"""),"BERRY")</f>
        <v>BERRY</v>
      </c>
      <c r="E53" s="35">
        <f>IFERROR(__xludf.DUMMYFUNCTION("""COMPUTED_VALUE"""),2.0240101E7)</f>
        <v>20240101</v>
      </c>
      <c r="F53" s="35" t="str">
        <f>IFERROR(__xludf.DUMMYFUNCTION("""COMPUTED_VALUE"""),"SUCCESS")</f>
        <v>SUCCESS</v>
      </c>
    </row>
    <row r="54">
      <c r="A54" s="35" t="str">
        <f>IFERROR(__xludf.DUMMYFUNCTION("""COMPUTED_VALUE"""),"4698-09-08-2021-NK_CHEMICALS_EUROPE.pdf")</f>
        <v>4698-09-08-2021-NK_CHEMICALS_EUROPE.pdf</v>
      </c>
      <c r="B54" s="35"/>
      <c r="C54" s="35"/>
      <c r="D54" s="35"/>
      <c r="E54" s="35"/>
      <c r="F54" s="35" t="str">
        <f>IFERROR(__xludf.DUMMYFUNCTION("""COMPUTED_VALUE"""),"FAILED")</f>
        <v>FAILED</v>
      </c>
    </row>
    <row r="55">
      <c r="A55" s="35" t="str">
        <f>IFERROR(__xludf.DUMMYFUNCTION("""COMPUTED_VALUE"""),"4698-15-01-2024-CHARKIT_CHEMICAL_COR.pdf")</f>
        <v>4698-15-01-2024-CHARKIT_CHEMICAL_COR.pdf</v>
      </c>
      <c r="B55" s="35"/>
      <c r="C55" s="35"/>
      <c r="D55" s="35"/>
      <c r="E55" s="35"/>
      <c r="F55" s="35" t="str">
        <f>IFERROR(__xludf.DUMMYFUNCTION("""COMPUTED_VALUE"""),"FAILED")</f>
        <v>FAILED</v>
      </c>
    </row>
    <row r="56">
      <c r="A56" s="35" t="str">
        <f>IFERROR(__xludf.DUMMYFUNCTION("""COMPUTED_VALUE"""),"4698.pdf")</f>
        <v>4698.pdf</v>
      </c>
      <c r="B56" s="35"/>
      <c r="C56" s="35"/>
      <c r="D56" s="35"/>
      <c r="E56" s="35"/>
      <c r="F56" s="35" t="str">
        <f>IFERROR(__xludf.DUMMYFUNCTION("""COMPUTED_VALUE"""),"FAILED")</f>
        <v>FAILED</v>
      </c>
    </row>
    <row r="57">
      <c r="A57" s="35" t="str">
        <f>IFERROR(__xludf.DUMMYFUNCTION("""COMPUTED_VALUE"""),"4698[1].pdf")</f>
        <v>4698[1].pdf</v>
      </c>
      <c r="B57" s="35"/>
      <c r="C57" s="35"/>
      <c r="D57" s="35"/>
      <c r="E57" s="35"/>
      <c r="F57" s="35" t="str">
        <f>IFERROR(__xludf.DUMMYFUNCTION("""COMPUTED_VALUE"""),"FAILED")</f>
        <v>FAILED</v>
      </c>
    </row>
    <row r="58">
      <c r="A58" s="35" t="str">
        <f>IFERROR(__xludf.DUMMYFUNCTION("""COMPUTED_VALUE"""),"4700007642-06-02-2024-BRENNTAG_INGREDIENTS.pdf")</f>
        <v>4700007642-06-02-2024-BRENNTAG_INGREDIENTS.pdf</v>
      </c>
      <c r="B58" s="35"/>
      <c r="C58" s="35"/>
      <c r="D58" s="35"/>
      <c r="E58" s="35"/>
      <c r="F58" s="35" t="str">
        <f>IFERROR(__xludf.DUMMYFUNCTION("""COMPUTED_VALUE"""),"FAILED")</f>
        <v>FAILED</v>
      </c>
    </row>
    <row r="59">
      <c r="A59" s="35" t="str">
        <f>IFERROR(__xludf.DUMMYFUNCTION("""COMPUTED_VALUE"""),"4700007642.pdf")</f>
        <v>4700007642.pdf</v>
      </c>
      <c r="B59" s="35" t="str">
        <f>IFERROR(__xludf.DUMMYFUNCTION("""COMPUTED_VALUE"""),"4700007642-BRENNTAG-20240101.pdf")</f>
        <v>4700007642-BRENNTAG-20240101.pdf</v>
      </c>
      <c r="C59" s="35">
        <f>IFERROR(__xludf.DUMMYFUNCTION("""COMPUTED_VALUE"""),4.700007642E9)</f>
        <v>4700007642</v>
      </c>
      <c r="D59" s="35" t="str">
        <f>IFERROR(__xludf.DUMMYFUNCTION("""COMPUTED_VALUE"""),"BRENNTAG")</f>
        <v>BRENNTAG</v>
      </c>
      <c r="E59" s="35">
        <f>IFERROR(__xludf.DUMMYFUNCTION("""COMPUTED_VALUE"""),2.0240101E7)</f>
        <v>20240101</v>
      </c>
      <c r="F59" s="35" t="str">
        <f>IFERROR(__xludf.DUMMYFUNCTION("""COMPUTED_VALUE"""),"SUCCESS")</f>
        <v>SUCCESS</v>
      </c>
    </row>
    <row r="60">
      <c r="A60" s="35" t="str">
        <f>IFERROR(__xludf.DUMMYFUNCTION("""COMPUTED_VALUE"""),"4700008440.pdf")</f>
        <v>4700008440.pdf</v>
      </c>
      <c r="B60" s="35" t="str">
        <f>IFERROR(__xludf.DUMMYFUNCTION("""COMPUTED_VALUE"""),"4700008440-BRENNTAG-20240101.pdf")</f>
        <v>4700008440-BRENNTAG-20240101.pdf</v>
      </c>
      <c r="C60" s="35">
        <f>IFERROR(__xludf.DUMMYFUNCTION("""COMPUTED_VALUE"""),4.70000844E9)</f>
        <v>4700008440</v>
      </c>
      <c r="D60" s="35" t="str">
        <f>IFERROR(__xludf.DUMMYFUNCTION("""COMPUTED_VALUE"""),"BRENNTAG")</f>
        <v>BRENNTAG</v>
      </c>
      <c r="E60" s="35">
        <f>IFERROR(__xludf.DUMMYFUNCTION("""COMPUTED_VALUE"""),2.0240101E7)</f>
        <v>20240101</v>
      </c>
      <c r="F60" s="35" t="str">
        <f>IFERROR(__xludf.DUMMYFUNCTION("""COMPUTED_VALUE"""),"SUCCESS")</f>
        <v>SUCCESS</v>
      </c>
    </row>
    <row r="61">
      <c r="A61" s="35" t="str">
        <f>IFERROR(__xludf.DUMMYFUNCTION("""COMPUTED_VALUE"""),"482.pdf")</f>
        <v>482.pdf</v>
      </c>
      <c r="B61" s="35"/>
      <c r="C61" s="35"/>
      <c r="D61" s="35"/>
      <c r="E61" s="35"/>
      <c r="F61" s="35" t="str">
        <f>IFERROR(__xludf.DUMMYFUNCTION("""COMPUTED_VALUE"""),"FAILED")</f>
        <v>FAILED</v>
      </c>
    </row>
    <row r="62">
      <c r="A62" s="35" t="str">
        <f>IFERROR(__xludf.DUMMYFUNCTION("""COMPUTED_VALUE"""),"4900052720-29-01-2024-LORAND_LABORATORIES.pdf")</f>
        <v>4900052720-29-01-2024-LORAND_LABORATORIES.pdf</v>
      </c>
      <c r="B62" s="35"/>
      <c r="C62" s="35"/>
      <c r="D62" s="35"/>
      <c r="E62" s="35"/>
      <c r="F62" s="35" t="str">
        <f>IFERROR(__xludf.DUMMYFUNCTION("""COMPUTED_VALUE"""),"FAILED")</f>
        <v>FAILED</v>
      </c>
    </row>
    <row r="63">
      <c r="A63" s="35" t="str">
        <f>IFERROR(__xludf.DUMMYFUNCTION("""COMPUTED_VALUE"""),"4900052720.pdf")</f>
        <v>4900052720.pdf</v>
      </c>
      <c r="B63" s="35" t="str">
        <f>IFERROR(__xludf.DUMMYFUNCTION("""COMPUTED_VALUE"""),"4900052720-AGROMAYAL-20240101.pdf")</f>
        <v>4900052720-AGROMAYAL-20240101.pdf</v>
      </c>
      <c r="C63" s="35">
        <f>IFERROR(__xludf.DUMMYFUNCTION("""COMPUTED_VALUE"""),4.90005272E9)</f>
        <v>4900052720</v>
      </c>
      <c r="D63" s="35" t="str">
        <f>IFERROR(__xludf.DUMMYFUNCTION("""COMPUTED_VALUE"""),"AGROMAYAL")</f>
        <v>AGROMAYAL</v>
      </c>
      <c r="E63" s="35">
        <f>IFERROR(__xludf.DUMMYFUNCTION("""COMPUTED_VALUE"""),2.0240101E7)</f>
        <v>20240101</v>
      </c>
      <c r="F63" s="35" t="str">
        <f>IFERROR(__xludf.DUMMYFUNCTION("""COMPUTED_VALUE"""),"SUCCESS")</f>
        <v>SUCCESS</v>
      </c>
    </row>
    <row r="64">
      <c r="A64" s="35" t="str">
        <f>IFERROR(__xludf.DUMMYFUNCTION("""COMPUTED_VALUE"""),"4900061814.pdf")</f>
        <v>4900061814.pdf</v>
      </c>
      <c r="B64" s="35" t="str">
        <f>IFERROR(__xludf.DUMMYFUNCTION("""COMPUTED_VALUE"""),"4900061814-AGROMAYAL-20240101.pdf")</f>
        <v>4900061814-AGROMAYAL-20240101.pdf</v>
      </c>
      <c r="C64" s="35">
        <f>IFERROR(__xludf.DUMMYFUNCTION("""COMPUTED_VALUE"""),4.900061814E9)</f>
        <v>4900061814</v>
      </c>
      <c r="D64" s="35" t="str">
        <f>IFERROR(__xludf.DUMMYFUNCTION("""COMPUTED_VALUE"""),"AGROMAYAL")</f>
        <v>AGROMAYAL</v>
      </c>
      <c r="E64" s="35">
        <f>IFERROR(__xludf.DUMMYFUNCTION("""COMPUTED_VALUE"""),2.0240101E7)</f>
        <v>20240101</v>
      </c>
      <c r="F64" s="35" t="str">
        <f>IFERROR(__xludf.DUMMYFUNCTION("""COMPUTED_VALUE"""),"SUCCESS")</f>
        <v>SUCCESS</v>
      </c>
    </row>
    <row r="65">
      <c r="A65" s="35" t="str">
        <f>IFERROR(__xludf.DUMMYFUNCTION("""COMPUTED_VALUE"""),"519721-15-01-2024-LEGOSAN_AB.pdf")</f>
        <v>519721-15-01-2024-LEGOSAN_AB.pdf</v>
      </c>
      <c r="B65" s="35" t="str">
        <f>IFERROR(__xludf.DUMMYFUNCTION("""COMPUTED_VALUE"""),"519721-LEGOSAN-20240115.pdf")</f>
        <v>519721-LEGOSAN-20240115.pdf</v>
      </c>
      <c r="C65" s="35">
        <f>IFERROR(__xludf.DUMMYFUNCTION("""COMPUTED_VALUE"""),519721.0)</f>
        <v>519721</v>
      </c>
      <c r="D65" s="35" t="str">
        <f>IFERROR(__xludf.DUMMYFUNCTION("""COMPUTED_VALUE"""),"LEGOSAN")</f>
        <v>LEGOSAN</v>
      </c>
      <c r="E65" s="35">
        <f>IFERROR(__xludf.DUMMYFUNCTION("""COMPUTED_VALUE"""),2.0240115E7)</f>
        <v>20240115</v>
      </c>
      <c r="F65" s="35" t="str">
        <f>IFERROR(__xludf.DUMMYFUNCTION("""COMPUTED_VALUE"""),"SUCCESS")</f>
        <v>SUCCESS</v>
      </c>
    </row>
    <row r="66">
      <c r="A66" s="35" t="str">
        <f>IFERROR(__xludf.DUMMYFUNCTION("""COMPUTED_VALUE"""),"519721.pdf")</f>
        <v>519721.pdf</v>
      </c>
      <c r="B66" s="35" t="str">
        <f>IFERROR(__xludf.DUMMYFUNCTION("""COMPUTED_VALUE"""),"519721-LEGOSAN-20231207.pdf")</f>
        <v>519721-LEGOSAN-20231207.pdf</v>
      </c>
      <c r="C66" s="35">
        <f>IFERROR(__xludf.DUMMYFUNCTION("""COMPUTED_VALUE"""),519721.0)</f>
        <v>519721</v>
      </c>
      <c r="D66" s="35" t="str">
        <f>IFERROR(__xludf.DUMMYFUNCTION("""COMPUTED_VALUE"""),"LEGOSAN")</f>
        <v>LEGOSAN</v>
      </c>
      <c r="E66" s="35">
        <f>IFERROR(__xludf.DUMMYFUNCTION("""COMPUTED_VALUE"""),2.0231207E7)</f>
        <v>20231207</v>
      </c>
      <c r="F66" s="35" t="str">
        <f>IFERROR(__xludf.DUMMYFUNCTION("""COMPUTED_VALUE"""),"SUCCESS")</f>
        <v>SUCCESS</v>
      </c>
    </row>
    <row r="67">
      <c r="A67" s="35" t="str">
        <f>IFERROR(__xludf.DUMMYFUNCTION("""COMPUTED_VALUE"""),"520237.pdf")</f>
        <v>520237.pdf</v>
      </c>
      <c r="B67" s="35" t="str">
        <f>IFERROR(__xludf.DUMMYFUNCTION("""COMPUTED_VALUE"""),"520237-LEGOSAN-20240827.pdf")</f>
        <v>520237-LEGOSAN-20240827.pdf</v>
      </c>
      <c r="C67" s="35">
        <f>IFERROR(__xludf.DUMMYFUNCTION("""COMPUTED_VALUE"""),520237.0)</f>
        <v>520237</v>
      </c>
      <c r="D67" s="35" t="str">
        <f>IFERROR(__xludf.DUMMYFUNCTION("""COMPUTED_VALUE"""),"LEGOSAN")</f>
        <v>LEGOSAN</v>
      </c>
      <c r="E67" s="35">
        <f>IFERROR(__xludf.DUMMYFUNCTION("""COMPUTED_VALUE"""),2.0240827E7)</f>
        <v>20240827</v>
      </c>
      <c r="F67" s="35" t="str">
        <f>IFERROR(__xludf.DUMMYFUNCTION("""COMPUTED_VALUE"""),"SUCCESS")</f>
        <v>SUCCESS</v>
      </c>
    </row>
    <row r="68">
      <c r="A68" s="35" t="str">
        <f>IFERROR(__xludf.DUMMYFUNCTION("""COMPUTED_VALUE"""),"70350120.PDF")</f>
        <v>70350120.PDF</v>
      </c>
      <c r="B68" s="35" t="str">
        <f>IFERROR(__xludf.DUMMYFUNCTION("""COMPUTED_VALUE"""),"70350120-BRENNTAG-20240101.pdf")</f>
        <v>70350120-BRENNTAG-20240101.pdf</v>
      </c>
      <c r="C68" s="35">
        <f>IFERROR(__xludf.DUMMYFUNCTION("""COMPUTED_VALUE"""),7.035012E7)</f>
        <v>70350120</v>
      </c>
      <c r="D68" s="35" t="str">
        <f>IFERROR(__xludf.DUMMYFUNCTION("""COMPUTED_VALUE"""),"BRENNTAG")</f>
        <v>BRENNTAG</v>
      </c>
      <c r="E68" s="35">
        <f>IFERROR(__xludf.DUMMYFUNCTION("""COMPUTED_VALUE"""),2.0240101E7)</f>
        <v>20240101</v>
      </c>
      <c r="F68" s="35" t="str">
        <f>IFERROR(__xludf.DUMMYFUNCTION("""COMPUTED_VALUE"""),"SUCCESS")</f>
        <v>SUCCESS</v>
      </c>
    </row>
    <row r="69">
      <c r="A69" s="35" t="str">
        <f>IFERROR(__xludf.DUMMYFUNCTION("""COMPUTED_VALUE"""),"AGROMAYAL BOTANICA SA DE CV PO 134714.pdf")</f>
        <v>AGROMAYAL BOTANICA SA DE CV PO 134714.pdf</v>
      </c>
      <c r="B69" s="35" t="str">
        <f>IFERROR(__xludf.DUMMYFUNCTION("""COMPUTED_VALUE"""),"134714-AGROMAYAL-20240101.pdf")</f>
        <v>134714-AGROMAYAL-20240101.pdf</v>
      </c>
      <c r="C69" s="35">
        <f>IFERROR(__xludf.DUMMYFUNCTION("""COMPUTED_VALUE"""),134714.0)</f>
        <v>134714</v>
      </c>
      <c r="D69" s="35" t="str">
        <f>IFERROR(__xludf.DUMMYFUNCTION("""COMPUTED_VALUE"""),"AGROMAYAL")</f>
        <v>AGROMAYAL</v>
      </c>
      <c r="E69" s="35">
        <f>IFERROR(__xludf.DUMMYFUNCTION("""COMPUTED_VALUE"""),2.0240101E7)</f>
        <v>20240101</v>
      </c>
      <c r="F69" s="35" t="str">
        <f>IFERROR(__xludf.DUMMYFUNCTION("""COMPUTED_VALUE"""),"SUCCESS")</f>
        <v>SUCCESS</v>
      </c>
    </row>
    <row r="70">
      <c r="A70" s="35" t="str">
        <f>IFERROR(__xludf.DUMMYFUNCTION("""COMPUTED_VALUE"""),"ALOE VERA 200 COSMETIC TO PA PO# 4009644.pdf")</f>
        <v>ALOE VERA 200 COSMETIC TO PA PO# 4009644.pdf</v>
      </c>
      <c r="B70" s="35" t="str">
        <f>IFERROR(__xludf.DUMMYFUNCTION("""COMPUTED_VALUE"""),"4009644-CHARKIT-20240803.pdf")</f>
        <v>4009644-CHARKIT-20240803.pdf</v>
      </c>
      <c r="C70" s="35">
        <f>IFERROR(__xludf.DUMMYFUNCTION("""COMPUTED_VALUE"""),4009644.0)</f>
        <v>4009644</v>
      </c>
      <c r="D70" s="35" t="str">
        <f>IFERROR(__xludf.DUMMYFUNCTION("""COMPUTED_VALUE"""),"CHARKIT")</f>
        <v>CHARKIT</v>
      </c>
      <c r="E70" s="35">
        <f>IFERROR(__xludf.DUMMYFUNCTION("""COMPUTED_VALUE"""),2.0240803E7)</f>
        <v>20240803</v>
      </c>
      <c r="F70" s="35" t="str">
        <f>IFERROR(__xludf.DUMMYFUNCTION("""COMPUTED_VALUE"""),"SUCCESS")</f>
        <v>SUCCESS</v>
      </c>
    </row>
    <row r="71">
      <c r="A71" s="35" t="str">
        <f>IFERROR(__xludf.DUMMYFUNCTION("""COMPUTED_VALUE"""),"ALOE VERA COSMETIC PO# 4006321.pdf")</f>
        <v>ALOE VERA COSMETIC PO# 4006321.pdf</v>
      </c>
      <c r="B71" s="35" t="str">
        <f>IFERROR(__xludf.DUMMYFUNCTION("""COMPUTED_VALUE"""),"4006321-CHARKIT-20231812.pdf")</f>
        <v>4006321-CHARKIT-20231812.pdf</v>
      </c>
      <c r="C71" s="35">
        <f>IFERROR(__xludf.DUMMYFUNCTION("""COMPUTED_VALUE"""),4006321.0)</f>
        <v>4006321</v>
      </c>
      <c r="D71" s="35" t="str">
        <f>IFERROR(__xludf.DUMMYFUNCTION("""COMPUTED_VALUE"""),"CHARKIT")</f>
        <v>CHARKIT</v>
      </c>
      <c r="E71" s="35">
        <f>IFERROR(__xludf.DUMMYFUNCTION("""COMPUTED_VALUE"""),2.0231812E7)</f>
        <v>20231812</v>
      </c>
      <c r="F71" s="35" t="str">
        <f>IFERROR(__xludf.DUMMYFUNCTION("""COMPUTED_VALUE"""),"SUCCESS")</f>
        <v>SUCCESS</v>
      </c>
    </row>
    <row r="72">
      <c r="A72" s="35" t="str">
        <f>IFERROR(__xludf.DUMMYFUNCTION("""COMPUTED_VALUE"""),"AMW240001LEU-13-02-2024-CELLEX_PHARM_CO.,_LT.pdf")</f>
        <v>AMW240001LEU-13-02-2024-CELLEX_PHARM_CO.,_LT.pdf</v>
      </c>
      <c r="B72" s="35" t="str">
        <f>IFERROR(__xludf.DUMMYFUNCTION("""COMPUTED_VALUE"""),"AMW240001LEU-CELLEX-20240213.pdf")</f>
        <v>AMW240001LEU-CELLEX-20240213.pdf</v>
      </c>
      <c r="C72" s="35" t="str">
        <f>IFERROR(__xludf.DUMMYFUNCTION("""COMPUTED_VALUE"""),"AMW240001LEU")</f>
        <v>AMW240001LEU</v>
      </c>
      <c r="D72" s="35" t="str">
        <f>IFERROR(__xludf.DUMMYFUNCTION("""COMPUTED_VALUE"""),"CELLEX")</f>
        <v>CELLEX</v>
      </c>
      <c r="E72" s="35">
        <f>IFERROR(__xludf.DUMMYFUNCTION("""COMPUTED_VALUE"""),2.0240213E7)</f>
        <v>20240213</v>
      </c>
      <c r="F72" s="35" t="str">
        <f>IFERROR(__xludf.DUMMYFUNCTION("""COMPUTED_VALUE"""),"SUCCESS")</f>
        <v>SUCCESS</v>
      </c>
    </row>
    <row r="73">
      <c r="A73" s="35" t="str">
        <f>IFERROR(__xludf.DUMMYFUNCTION("""COMPUTED_VALUE"""),"AMW240001LEU-13-02-2024-DAEHAN_CHEMTECH_CO.,.pdf")</f>
        <v>AMW240001LEU-13-02-2024-DAEHAN_CHEMTECH_CO.,.pdf</v>
      </c>
      <c r="B73" s="35" t="str">
        <f>IFERROR(__xludf.DUMMYFUNCTION("""COMPUTED_VALUE"""),"AMW240001LEU-DAEHAN-20240213.pdf")</f>
        <v>AMW240001LEU-DAEHAN-20240213.pdf</v>
      </c>
      <c r="C73" s="35" t="str">
        <f>IFERROR(__xludf.DUMMYFUNCTION("""COMPUTED_VALUE"""),"AMW240001LEU")</f>
        <v>AMW240001LEU</v>
      </c>
      <c r="D73" s="35" t="str">
        <f>IFERROR(__xludf.DUMMYFUNCTION("""COMPUTED_VALUE"""),"DAEHAN")</f>
        <v>DAEHAN</v>
      </c>
      <c r="E73" s="35">
        <f>IFERROR(__xludf.DUMMYFUNCTION("""COMPUTED_VALUE"""),2.0240213E7)</f>
        <v>20240213</v>
      </c>
      <c r="F73" s="35" t="str">
        <f>IFERROR(__xludf.DUMMYFUNCTION("""COMPUTED_VALUE"""),"SUCCESS")</f>
        <v>SUCCESS</v>
      </c>
    </row>
    <row r="74">
      <c r="A74" s="35" t="str">
        <f>IFERROR(__xludf.DUMMYFUNCTION("""COMPUTED_VALUE"""),"AMW240001LEU.pdf")</f>
        <v>AMW240001LEU.pdf</v>
      </c>
      <c r="B74" s="35" t="str">
        <f>IFERROR(__xludf.DUMMYFUNCTION("""COMPUTED_VALUE"""),"AMW240001LEU-AMB_WELLNESS-20240101.pdf")</f>
        <v>AMW240001LEU-AMB_WELLNESS-20240101.pdf</v>
      </c>
      <c r="C74" s="35" t="str">
        <f>IFERROR(__xludf.DUMMYFUNCTION("""COMPUTED_VALUE"""),"AMW240001LEU")</f>
        <v>AMW240001LEU</v>
      </c>
      <c r="D74" s="35" t="str">
        <f>IFERROR(__xludf.DUMMYFUNCTION("""COMPUTED_VALUE"""),"AMB_WELLNESS")</f>
        <v>AMB_WELLNESS</v>
      </c>
      <c r="E74" s="35">
        <f>IFERROR(__xludf.DUMMYFUNCTION("""COMPUTED_VALUE"""),2.0240101E7)</f>
        <v>20240101</v>
      </c>
      <c r="F74" s="35" t="str">
        <f>IFERROR(__xludf.DUMMYFUNCTION("""COMPUTED_VALUE"""),"SUCCESS")</f>
        <v>SUCCESS</v>
      </c>
    </row>
    <row r="75">
      <c r="A75" s="35" t="str">
        <f>IFERROR(__xludf.DUMMYFUNCTION("""COMPUTED_VALUE"""),"BERRY_PO_4511287 Mar.PDF")</f>
        <v>BERRY_PO_4511287 Mar.PDF</v>
      </c>
      <c r="B75" s="35" t="str">
        <f>IFERROR(__xludf.DUMMYFUNCTION("""COMPUTED_VALUE"""),"4511287-BERRY-20240101.pdf")</f>
        <v>4511287-BERRY-20240101.pdf</v>
      </c>
      <c r="C75" s="35">
        <f>IFERROR(__xludf.DUMMYFUNCTION("""COMPUTED_VALUE"""),4511287.0)</f>
        <v>4511287</v>
      </c>
      <c r="D75" s="35" t="str">
        <f>IFERROR(__xludf.DUMMYFUNCTION("""COMPUTED_VALUE"""),"BERRY")</f>
        <v>BERRY</v>
      </c>
      <c r="E75" s="35">
        <f>IFERROR(__xludf.DUMMYFUNCTION("""COMPUTED_VALUE"""),2.0240101E7)</f>
        <v>20240101</v>
      </c>
      <c r="F75" s="35" t="str">
        <f>IFERROR(__xludf.DUMMYFUNCTION("""COMPUTED_VALUE"""),"SUCCESS")</f>
        <v>SUCCESS</v>
      </c>
    </row>
    <row r="76">
      <c r="A76" s="35" t="str">
        <f>IFERROR(__xludf.DUMMYFUNCTION("""COMPUTED_VALUE"""),"BERRY_PO_4547316.PDF")</f>
        <v>BERRY_PO_4547316.PDF</v>
      </c>
      <c r="B76" s="35" t="str">
        <f>IFERROR(__xludf.DUMMYFUNCTION("""COMPUTED_VALUE"""),"4547316-BERRY-20240101.pdf")</f>
        <v>4547316-BERRY-20240101.pdf</v>
      </c>
      <c r="C76" s="35">
        <f>IFERROR(__xludf.DUMMYFUNCTION("""COMPUTED_VALUE"""),4547316.0)</f>
        <v>4547316</v>
      </c>
      <c r="D76" s="35" t="str">
        <f>IFERROR(__xludf.DUMMYFUNCTION("""COMPUTED_VALUE"""),"BERRY")</f>
        <v>BERRY</v>
      </c>
      <c r="E76" s="35">
        <f>IFERROR(__xludf.DUMMYFUNCTION("""COMPUTED_VALUE"""),2.0240101E7)</f>
        <v>20240101</v>
      </c>
      <c r="F76" s="35" t="str">
        <f>IFERROR(__xludf.DUMMYFUNCTION("""COMPUTED_VALUE"""),"SUCCESS")</f>
        <v>SUCCESS</v>
      </c>
    </row>
    <row r="77">
      <c r="A77" s="35" t="str">
        <f>IFERROR(__xludf.DUMMYFUNCTION("""COMPUTED_VALUE"""),"BERRY_PO_4758056 Oct.PDF")</f>
        <v>BERRY_PO_4758056 Oct.PDF</v>
      </c>
      <c r="B77" s="35" t="str">
        <f>IFERROR(__xludf.DUMMYFUNCTION("""COMPUTED_VALUE"""),"4758056-BERRY-20240101.pdf")</f>
        <v>4758056-BERRY-20240101.pdf</v>
      </c>
      <c r="C77" s="35">
        <f>IFERROR(__xludf.DUMMYFUNCTION("""COMPUTED_VALUE"""),4758056.0)</f>
        <v>4758056</v>
      </c>
      <c r="D77" s="35" t="str">
        <f>IFERROR(__xludf.DUMMYFUNCTION("""COMPUTED_VALUE"""),"BERRY")</f>
        <v>BERRY</v>
      </c>
      <c r="E77" s="35">
        <f>IFERROR(__xludf.DUMMYFUNCTION("""COMPUTED_VALUE"""),2.0240101E7)</f>
        <v>20240101</v>
      </c>
      <c r="F77" s="35" t="str">
        <f>IFERROR(__xludf.DUMMYFUNCTION("""COMPUTED_VALUE"""),"SUCCESS")</f>
        <v>SUCCESS</v>
      </c>
    </row>
    <row r="78">
      <c r="A78" s="35" t="str">
        <f>IFERROR(__xludf.DUMMYFUNCTION("""COMPUTED_VALUE"""),"BERRY_PO_4758056 Oct[1].PDF")</f>
        <v>BERRY_PO_4758056 Oct[1].PDF</v>
      </c>
      <c r="B78" s="35" t="str">
        <f>IFERROR(__xludf.DUMMYFUNCTION("""COMPUTED_VALUE"""),"4758056-BERRY-20240101.pdf")</f>
        <v>4758056-BERRY-20240101.pdf</v>
      </c>
      <c r="C78" s="35">
        <f>IFERROR(__xludf.DUMMYFUNCTION("""COMPUTED_VALUE"""),4758056.0)</f>
        <v>4758056</v>
      </c>
      <c r="D78" s="35" t="str">
        <f>IFERROR(__xludf.DUMMYFUNCTION("""COMPUTED_VALUE"""),"BERRY")</f>
        <v>BERRY</v>
      </c>
      <c r="E78" s="35">
        <f>IFERROR(__xludf.DUMMYFUNCTION("""COMPUTED_VALUE"""),2.0240101E7)</f>
        <v>20240101</v>
      </c>
      <c r="F78" s="35" t="str">
        <f>IFERROR(__xludf.DUMMYFUNCTION("""COMPUTED_VALUE"""),"SUCCESS")</f>
        <v>SUCCESS</v>
      </c>
    </row>
    <row r="79">
      <c r="A79" s="35" t="str">
        <f>IFERROR(__xludf.DUMMYFUNCTION("""COMPUTED_VALUE"""),"Beställning_27458.PDF")</f>
        <v>Beställning_27458.PDF</v>
      </c>
      <c r="B79" s="35"/>
      <c r="C79" s="35"/>
      <c r="D79" s="35"/>
      <c r="E79" s="35"/>
      <c r="F79" s="35" t="str">
        <f>IFERROR(__xludf.DUMMYFUNCTION("""COMPUTED_VALUE"""),"FAILED")</f>
        <v>FAILED</v>
      </c>
    </row>
    <row r="80">
      <c r="A80" s="35" t="str">
        <f>IFERROR(__xludf.DUMMYFUNCTION("""COMPUTED_VALUE"""),"Bon_Commande_AMBWELLNESS_2312103_20231213-09-08-2021-GREENTECH_S.A.pdf")</f>
        <v>Bon_Commande_AMBWELLNESS_2312103_20231213-09-08-2021-GREENTECH_S.A.pdf</v>
      </c>
      <c r="B80" s="35" t="str">
        <f>IFERROR(__xludf.DUMMYFUNCTION("""COMPUTED_VALUE"""),"2312103-GREENTECH-20231213.pdf")</f>
        <v>2312103-GREENTECH-20231213.pdf</v>
      </c>
      <c r="C80" s="35">
        <f>IFERROR(__xludf.DUMMYFUNCTION("""COMPUTED_VALUE"""),2312103.0)</f>
        <v>2312103</v>
      </c>
      <c r="D80" s="35" t="str">
        <f>IFERROR(__xludf.DUMMYFUNCTION("""COMPUTED_VALUE"""),"GREENTECH")</f>
        <v>GREENTECH</v>
      </c>
      <c r="E80" s="35">
        <f>IFERROR(__xludf.DUMMYFUNCTION("""COMPUTED_VALUE"""),2.0231213E7)</f>
        <v>20231213</v>
      </c>
      <c r="F80" s="35" t="str">
        <f>IFERROR(__xludf.DUMMYFUNCTION("""COMPUTED_VALUE"""),"SUCCESS")</f>
        <v>SUCCESS</v>
      </c>
    </row>
    <row r="81">
      <c r="A81" s="35" t="str">
        <f>IFERROR(__xludf.DUMMYFUNCTION("""COMPUTED_VALUE"""),"Bon_Commande_AMBWELLNESS_2312103_20231213-15-01-2024-GREENTECH_SA.pdf")</f>
        <v>Bon_Commande_AMBWELLNESS_2312103_20231213-15-01-2024-GREENTECH_SA.pdf</v>
      </c>
      <c r="B81" s="35" t="str">
        <f>IFERROR(__xludf.DUMMYFUNCTION("""COMPUTED_VALUE"""),"2312103-GREENTECH-20231213.pdf")</f>
        <v>2312103-GREENTECH-20231213.pdf</v>
      </c>
      <c r="C81" s="35">
        <f>IFERROR(__xludf.DUMMYFUNCTION("""COMPUTED_VALUE"""),2312103.0)</f>
        <v>2312103</v>
      </c>
      <c r="D81" s="35" t="str">
        <f>IFERROR(__xludf.DUMMYFUNCTION("""COMPUTED_VALUE"""),"GREENTECH")</f>
        <v>GREENTECH</v>
      </c>
      <c r="E81" s="35">
        <f>IFERROR(__xludf.DUMMYFUNCTION("""COMPUTED_VALUE"""),2.0231213E7)</f>
        <v>20231213</v>
      </c>
      <c r="F81" s="35" t="str">
        <f>IFERROR(__xludf.DUMMYFUNCTION("""COMPUTED_VALUE"""),"SUCCESS")</f>
        <v>SUCCESS</v>
      </c>
    </row>
    <row r="82">
      <c r="A82" s="35" t="str">
        <f>IFERROR(__xludf.DUMMYFUNCTION("""COMPUTED_VALUE"""),"Bon_Commande_AMBWELLNESS_2312103_20231213.pdf")</f>
        <v>Bon_Commande_AMBWELLNESS_2312103_20231213.pdf</v>
      </c>
      <c r="B82" s="35" t="str">
        <f>IFERROR(__xludf.DUMMYFUNCTION("""COMPUTED_VALUE"""),"2312103-GREENTECH-20231213.pdf")</f>
        <v>2312103-GREENTECH-20231213.pdf</v>
      </c>
      <c r="C82" s="35">
        <f>IFERROR(__xludf.DUMMYFUNCTION("""COMPUTED_VALUE"""),2312103.0)</f>
        <v>2312103</v>
      </c>
      <c r="D82" s="35" t="str">
        <f>IFERROR(__xludf.DUMMYFUNCTION("""COMPUTED_VALUE"""),"GREENTECH")</f>
        <v>GREENTECH</v>
      </c>
      <c r="E82" s="35">
        <f>IFERROR(__xludf.DUMMYFUNCTION("""COMPUTED_VALUE"""),2.0231213E7)</f>
        <v>20231213</v>
      </c>
      <c r="F82" s="35" t="str">
        <f>IFERROR(__xludf.DUMMYFUNCTION("""COMPUTED_VALUE"""),"SUCCESS")</f>
        <v>SUCCESS</v>
      </c>
    </row>
    <row r="83">
      <c r="A83" s="35" t="str">
        <f>IFERROR(__xludf.DUMMYFUNCTION("""COMPUTED_VALUE"""),"Bon_Commande_AMBWELLNESS_2403277_20240329.pdf")</f>
        <v>Bon_Commande_AMBWELLNESS_2403277_20240329.pdf</v>
      </c>
      <c r="B83" s="35" t="str">
        <f>IFERROR(__xludf.DUMMYFUNCTION("""COMPUTED_VALUE"""),"2403277-GREENTECH-20240329.pdf")</f>
        <v>2403277-GREENTECH-20240329.pdf</v>
      </c>
      <c r="C83" s="35">
        <f>IFERROR(__xludf.DUMMYFUNCTION("""COMPUTED_VALUE"""),2403277.0)</f>
        <v>2403277</v>
      </c>
      <c r="D83" s="35" t="str">
        <f>IFERROR(__xludf.DUMMYFUNCTION("""COMPUTED_VALUE"""),"GREENTECH")</f>
        <v>GREENTECH</v>
      </c>
      <c r="E83" s="35">
        <f>IFERROR(__xludf.DUMMYFUNCTION("""COMPUTED_VALUE"""),2.0240329E7)</f>
        <v>20240329</v>
      </c>
      <c r="F83" s="35" t="str">
        <f>IFERROR(__xludf.DUMMYFUNCTION("""COMPUTED_VALUE"""),"SUCCESS")</f>
        <v>SUCCESS</v>
      </c>
    </row>
    <row r="84">
      <c r="A84" s="35" t="str">
        <f>IFERROR(__xludf.DUMMYFUNCTION("""COMPUTED_VALUE"""),"Bon_Commande_AMBWELLNESS_2405013_20240503.pdf")</f>
        <v>Bon_Commande_AMBWELLNESS_2405013_20240503.pdf</v>
      </c>
      <c r="B84" s="35" t="str">
        <f>IFERROR(__xludf.DUMMYFUNCTION("""COMPUTED_VALUE"""),"2405013-GREENTECH-20240503.pdf")</f>
        <v>2405013-GREENTECH-20240503.pdf</v>
      </c>
      <c r="C84" s="35">
        <f>IFERROR(__xludf.DUMMYFUNCTION("""COMPUTED_VALUE"""),2405013.0)</f>
        <v>2405013</v>
      </c>
      <c r="D84" s="35" t="str">
        <f>IFERROR(__xludf.DUMMYFUNCTION("""COMPUTED_VALUE"""),"GREENTECH")</f>
        <v>GREENTECH</v>
      </c>
      <c r="E84" s="35">
        <f>IFERROR(__xludf.DUMMYFUNCTION("""COMPUTED_VALUE"""),2.0240503E7)</f>
        <v>20240503</v>
      </c>
      <c r="F84" s="35" t="str">
        <f>IFERROR(__xludf.DUMMYFUNCTION("""COMPUTED_VALUE"""),"SUCCESS")</f>
        <v>SUCCESS</v>
      </c>
    </row>
    <row r="85">
      <c r="A85" s="35" t="str">
        <f>IFERROR(__xludf.DUMMYFUNCTION("""COMPUTED_VALUE"""),"Bon_Commande_AMBWELLNESS_2408078_20240812.pdf")</f>
        <v>Bon_Commande_AMBWELLNESS_2408078_20240812.pdf</v>
      </c>
      <c r="B85" s="35" t="str">
        <f>IFERROR(__xludf.DUMMYFUNCTION("""COMPUTED_VALUE"""),"2408078-GREENTECH-20240812.pdf")</f>
        <v>2408078-GREENTECH-20240812.pdf</v>
      </c>
      <c r="C85" s="35">
        <f>IFERROR(__xludf.DUMMYFUNCTION("""COMPUTED_VALUE"""),2408078.0)</f>
        <v>2408078</v>
      </c>
      <c r="D85" s="35" t="str">
        <f>IFERROR(__xludf.DUMMYFUNCTION("""COMPUTED_VALUE"""),"GREENTECH")</f>
        <v>GREENTECH</v>
      </c>
      <c r="E85" s="35">
        <f>IFERROR(__xludf.DUMMYFUNCTION("""COMPUTED_VALUE"""),2.0240812E7)</f>
        <v>20240812</v>
      </c>
      <c r="F85" s="35" t="str">
        <f>IFERROR(__xludf.DUMMYFUNCTION("""COMPUTED_VALUE"""),"SUCCESS")</f>
        <v>SUCCESS</v>
      </c>
    </row>
    <row r="86">
      <c r="A86" s="35" t="str">
        <f>IFERROR(__xludf.DUMMYFUNCTION("""COMPUTED_VALUE"""),"CDE 579 50kg .pdf")</f>
        <v>CDE 579 50kg .pdf</v>
      </c>
      <c r="B86" s="35" t="str">
        <f>IFERROR(__xludf.DUMMYFUNCTION("""COMPUTED_VALUE"""),"CDE579-AMB_WELLNESS-20240101.pdf")</f>
        <v>CDE579-AMB_WELLNESS-20240101.pdf</v>
      </c>
      <c r="C86" s="35" t="str">
        <f>IFERROR(__xludf.DUMMYFUNCTION("""COMPUTED_VALUE"""),"CDE579")</f>
        <v>CDE579</v>
      </c>
      <c r="D86" s="35" t="str">
        <f>IFERROR(__xludf.DUMMYFUNCTION("""COMPUTED_VALUE"""),"AMB_WELLNESS")</f>
        <v>AMB_WELLNESS</v>
      </c>
      <c r="E86" s="35">
        <f>IFERROR(__xludf.DUMMYFUNCTION("""COMPUTED_VALUE"""),2.0240101E7)</f>
        <v>20240101</v>
      </c>
      <c r="F86" s="35" t="str">
        <f>IFERROR(__xludf.DUMMYFUNCTION("""COMPUTED_VALUE"""),"SUCCESS")</f>
        <v>SUCCESS</v>
      </c>
    </row>
    <row r="87">
      <c r="A87" s="35" t="str">
        <f>IFERROR(__xludf.DUMMYFUNCTION("""COMPUTED_VALUE"""),"CDE 580 100kg  .pdf")</f>
        <v>CDE 580 100kg  .pdf</v>
      </c>
      <c r="B87" s="35" t="str">
        <f>IFERROR(__xludf.DUMMYFUNCTION("""COMPUTED_VALUE"""),"CDE580-AMB_WELLNESS-20240101.pdf")</f>
        <v>CDE580-AMB_WELLNESS-20240101.pdf</v>
      </c>
      <c r="C87" s="35" t="str">
        <f>IFERROR(__xludf.DUMMYFUNCTION("""COMPUTED_VALUE"""),"CDE580")</f>
        <v>CDE580</v>
      </c>
      <c r="D87" s="35" t="str">
        <f>IFERROR(__xludf.DUMMYFUNCTION("""COMPUTED_VALUE"""),"AMB_WELLNESS")</f>
        <v>AMB_WELLNESS</v>
      </c>
      <c r="E87" s="35">
        <f>IFERROR(__xludf.DUMMYFUNCTION("""COMPUTED_VALUE"""),2.0240101E7)</f>
        <v>20240101</v>
      </c>
      <c r="F87" s="35" t="str">
        <f>IFERROR(__xludf.DUMMYFUNCTION("""COMPUTED_VALUE"""),"SUCCESS")</f>
        <v>SUCCESS</v>
      </c>
    </row>
    <row r="88">
      <c r="A88" s="35" t="str">
        <f>IFERROR(__xludf.DUMMYFUNCTION("""COMPUTED_VALUE"""),"CDE 583 1kg  .pdf")</f>
        <v>CDE 583 1kg  .pdf</v>
      </c>
      <c r="B88" s="35" t="str">
        <f>IFERROR(__xludf.DUMMYFUNCTION("""COMPUTED_VALUE"""),"CDE583-AMB_WELLNESS-20240101.pdf")</f>
        <v>CDE583-AMB_WELLNESS-20240101.pdf</v>
      </c>
      <c r="C88" s="35" t="str">
        <f>IFERROR(__xludf.DUMMYFUNCTION("""COMPUTED_VALUE"""),"CDE583")</f>
        <v>CDE583</v>
      </c>
      <c r="D88" s="35" t="str">
        <f>IFERROR(__xludf.DUMMYFUNCTION("""COMPUTED_VALUE"""),"AMB_WELLNESS")</f>
        <v>AMB_WELLNESS</v>
      </c>
      <c r="E88" s="35">
        <f>IFERROR(__xludf.DUMMYFUNCTION("""COMPUTED_VALUE"""),2.0240101E7)</f>
        <v>20240101</v>
      </c>
      <c r="F88" s="35" t="str">
        <f>IFERROR(__xludf.DUMMYFUNCTION("""COMPUTED_VALUE"""),"SUCCESS")</f>
        <v>SUCCESS</v>
      </c>
    </row>
    <row r="89">
      <c r="A89" s="35" t="str">
        <f>IFERROR(__xludf.DUMMYFUNCTION("""COMPUTED_VALUE"""),"CDE 584 20kg  .pdf")</f>
        <v>CDE 584 20kg  .pdf</v>
      </c>
      <c r="B89" s="35" t="str">
        <f>IFERROR(__xludf.DUMMYFUNCTION("""COMPUTED_VALUE"""),"CDE584-AMB_WELLNESS-20240101.pdf")</f>
        <v>CDE584-AMB_WELLNESS-20240101.pdf</v>
      </c>
      <c r="C89" s="35" t="str">
        <f>IFERROR(__xludf.DUMMYFUNCTION("""COMPUTED_VALUE"""),"CDE584")</f>
        <v>CDE584</v>
      </c>
      <c r="D89" s="35" t="str">
        <f>IFERROR(__xludf.DUMMYFUNCTION("""COMPUTED_VALUE"""),"AMB_WELLNESS")</f>
        <v>AMB_WELLNESS</v>
      </c>
      <c r="E89" s="35">
        <f>IFERROR(__xludf.DUMMYFUNCTION("""COMPUTED_VALUE"""),2.0240101E7)</f>
        <v>20240101</v>
      </c>
      <c r="F89" s="35" t="str">
        <f>IFERROR(__xludf.DUMMYFUNCTION("""COMPUTED_VALUE"""),"SUCCESS")</f>
        <v>SUCCESS</v>
      </c>
    </row>
    <row r="90">
      <c r="A90" s="35" t="str">
        <f>IFERROR(__xludf.DUMMYFUNCTION("""COMPUTED_VALUE"""),"CDE 585 20kg  .pdf")</f>
        <v>CDE 585 20kg  .pdf</v>
      </c>
      <c r="B90" s="35" t="str">
        <f>IFERROR(__xludf.DUMMYFUNCTION("""COMPUTED_VALUE"""),"CDE585-AMB_WELLNESS-20240101.pdf")</f>
        <v>CDE585-AMB_WELLNESS-20240101.pdf</v>
      </c>
      <c r="C90" s="35" t="str">
        <f>IFERROR(__xludf.DUMMYFUNCTION("""COMPUTED_VALUE"""),"CDE585")</f>
        <v>CDE585</v>
      </c>
      <c r="D90" s="35" t="str">
        <f>IFERROR(__xludf.DUMMYFUNCTION("""COMPUTED_VALUE"""),"AMB_WELLNESS")</f>
        <v>AMB_WELLNESS</v>
      </c>
      <c r="E90" s="35">
        <f>IFERROR(__xludf.DUMMYFUNCTION("""COMPUTED_VALUE"""),2.0240101E7)</f>
        <v>20240101</v>
      </c>
      <c r="F90" s="35" t="str">
        <f>IFERROR(__xludf.DUMMYFUNCTION("""COMPUTED_VALUE"""),"SUCCESS")</f>
        <v>SUCCESS</v>
      </c>
    </row>
    <row r="91">
      <c r="A91" s="35" t="str">
        <f>IFERROR(__xludf.DUMMYFUNCTION("""COMPUTED_VALUE"""),"CDE 586 50kg .pdf")</f>
        <v>CDE 586 50kg .pdf</v>
      </c>
      <c r="B91" s="35" t="str">
        <f>IFERROR(__xludf.DUMMYFUNCTION("""COMPUTED_VALUE"""),"CDE586-AMB_WELLNESS-20240101.pdf")</f>
        <v>CDE586-AMB_WELLNESS-20240101.pdf</v>
      </c>
      <c r="C91" s="35" t="str">
        <f>IFERROR(__xludf.DUMMYFUNCTION("""COMPUTED_VALUE"""),"CDE586")</f>
        <v>CDE586</v>
      </c>
      <c r="D91" s="35" t="str">
        <f>IFERROR(__xludf.DUMMYFUNCTION("""COMPUTED_VALUE"""),"AMB_WELLNESS")</f>
        <v>AMB_WELLNESS</v>
      </c>
      <c r="E91" s="35">
        <f>IFERROR(__xludf.DUMMYFUNCTION("""COMPUTED_VALUE"""),2.0240101E7)</f>
        <v>20240101</v>
      </c>
      <c r="F91" s="35" t="str">
        <f>IFERROR(__xludf.DUMMYFUNCTION("""COMPUTED_VALUE"""),"SUCCESS")</f>
        <v>SUCCESS</v>
      </c>
    </row>
    <row r="92">
      <c r="A92" s="35" t="str">
        <f>IFERROR(__xludf.DUMMYFUNCTION("""COMPUTED_VALUE"""),"CDE 587 25kg .pdf")</f>
        <v>CDE 587 25kg .pdf</v>
      </c>
      <c r="B92" s="35" t="str">
        <f>IFERROR(__xludf.DUMMYFUNCTION("""COMPUTED_VALUE"""),"CDE587-AMB_WELLNESS-20240101.pdf")</f>
        <v>CDE587-AMB_WELLNESS-20240101.pdf</v>
      </c>
      <c r="C92" s="35" t="str">
        <f>IFERROR(__xludf.DUMMYFUNCTION("""COMPUTED_VALUE"""),"CDE587")</f>
        <v>CDE587</v>
      </c>
      <c r="D92" s="35" t="str">
        <f>IFERROR(__xludf.DUMMYFUNCTION("""COMPUTED_VALUE"""),"AMB_WELLNESS")</f>
        <v>AMB_WELLNESS</v>
      </c>
      <c r="E92" s="35">
        <f>IFERROR(__xludf.DUMMYFUNCTION("""COMPUTED_VALUE"""),2.0240101E7)</f>
        <v>20240101</v>
      </c>
      <c r="F92" s="35" t="str">
        <f>IFERROR(__xludf.DUMMYFUNCTION("""COMPUTED_VALUE"""),"SUCCESS")</f>
        <v>SUCCESS</v>
      </c>
    </row>
    <row r="93">
      <c r="A93" s="35" t="str">
        <f>IFERROR(__xludf.DUMMYFUNCTION("""COMPUTED_VALUE"""),"CDE 588 25kg .pdf")</f>
        <v>CDE 588 25kg .pdf</v>
      </c>
      <c r="B93" s="35" t="str">
        <f>IFERROR(__xludf.DUMMYFUNCTION("""COMPUTED_VALUE"""),"CDE588-AMB_WELLNESS-20240101.pdf")</f>
        <v>CDE588-AMB_WELLNESS-20240101.pdf</v>
      </c>
      <c r="C93" s="35" t="str">
        <f>IFERROR(__xludf.DUMMYFUNCTION("""COMPUTED_VALUE"""),"CDE588")</f>
        <v>CDE588</v>
      </c>
      <c r="D93" s="35" t="str">
        <f>IFERROR(__xludf.DUMMYFUNCTION("""COMPUTED_VALUE"""),"AMB_WELLNESS")</f>
        <v>AMB_WELLNESS</v>
      </c>
      <c r="E93" s="35">
        <f>IFERROR(__xludf.DUMMYFUNCTION("""COMPUTED_VALUE"""),2.0240101E7)</f>
        <v>20240101</v>
      </c>
      <c r="F93" s="35" t="str">
        <f>IFERROR(__xludf.DUMMYFUNCTION("""COMPUTED_VALUE"""),"SUCCESS")</f>
        <v>SUCCESS</v>
      </c>
    </row>
    <row r="94">
      <c r="A94" s="35" t="str">
        <f>IFERROR(__xludf.DUMMYFUNCTION("""COMPUTED_VALUE"""),"CDE 589 25kg .pdf")</f>
        <v>CDE 589 25kg .pdf</v>
      </c>
      <c r="B94" s="35" t="str">
        <f>IFERROR(__xludf.DUMMYFUNCTION("""COMPUTED_VALUE"""),"CDE589-AMB_WELLNESS-20240101.pdf")</f>
        <v>CDE589-AMB_WELLNESS-20240101.pdf</v>
      </c>
      <c r="C94" s="35" t="str">
        <f>IFERROR(__xludf.DUMMYFUNCTION("""COMPUTED_VALUE"""),"CDE589")</f>
        <v>CDE589</v>
      </c>
      <c r="D94" s="35" t="str">
        <f>IFERROR(__xludf.DUMMYFUNCTION("""COMPUTED_VALUE"""),"AMB_WELLNESS")</f>
        <v>AMB_WELLNESS</v>
      </c>
      <c r="E94" s="35">
        <f>IFERROR(__xludf.DUMMYFUNCTION("""COMPUTED_VALUE"""),2.0240101E7)</f>
        <v>20240101</v>
      </c>
      <c r="F94" s="35" t="str">
        <f>IFERROR(__xludf.DUMMYFUNCTION("""COMPUTED_VALUE"""),"SUCCESS")</f>
        <v>SUCCESS</v>
      </c>
    </row>
    <row r="95">
      <c r="A95" s="35" t="str">
        <f>IFERROR(__xludf.DUMMYFUNCTION("""COMPUTED_VALUE"""),"CDE 590 100kg .pdf")</f>
        <v>CDE 590 100kg .pdf</v>
      </c>
      <c r="B95" s="35" t="str">
        <f>IFERROR(__xludf.DUMMYFUNCTION("""COMPUTED_VALUE"""),"CDE590-AMB_WELLNESS-20240101.pdf")</f>
        <v>CDE590-AMB_WELLNESS-20240101.pdf</v>
      </c>
      <c r="C95" s="35" t="str">
        <f>IFERROR(__xludf.DUMMYFUNCTION("""COMPUTED_VALUE"""),"CDE590")</f>
        <v>CDE590</v>
      </c>
      <c r="D95" s="35" t="str">
        <f>IFERROR(__xludf.DUMMYFUNCTION("""COMPUTED_VALUE"""),"AMB_WELLNESS")</f>
        <v>AMB_WELLNESS</v>
      </c>
      <c r="E95" s="35">
        <f>IFERROR(__xludf.DUMMYFUNCTION("""COMPUTED_VALUE"""),2.0240101E7)</f>
        <v>20240101</v>
      </c>
      <c r="F95" s="35" t="str">
        <f>IFERROR(__xludf.DUMMYFUNCTION("""COMPUTED_VALUE"""),"SUCCESS")</f>
        <v>SUCCESS</v>
      </c>
    </row>
    <row r="96">
      <c r="A96" s="35" t="str">
        <f>IFERROR(__xludf.DUMMYFUNCTION("""COMPUTED_VALUE"""),"CDE 591 20kg  .pdf")</f>
        <v>CDE 591 20kg  .pdf</v>
      </c>
      <c r="B96" s="35" t="str">
        <f>IFERROR(__xludf.DUMMYFUNCTION("""COMPUTED_VALUE"""),"CDE591-AMB_WELLNESS-20240101.pdf")</f>
        <v>CDE591-AMB_WELLNESS-20240101.pdf</v>
      </c>
      <c r="C96" s="35" t="str">
        <f>IFERROR(__xludf.DUMMYFUNCTION("""COMPUTED_VALUE"""),"CDE591")</f>
        <v>CDE591</v>
      </c>
      <c r="D96" s="35" t="str">
        <f>IFERROR(__xludf.DUMMYFUNCTION("""COMPUTED_VALUE"""),"AMB_WELLNESS")</f>
        <v>AMB_WELLNESS</v>
      </c>
      <c r="E96" s="35">
        <f>IFERROR(__xludf.DUMMYFUNCTION("""COMPUTED_VALUE"""),2.0240101E7)</f>
        <v>20240101</v>
      </c>
      <c r="F96" s="35" t="str">
        <f>IFERROR(__xludf.DUMMYFUNCTION("""COMPUTED_VALUE"""),"SUCCESS")</f>
        <v>SUCCESS</v>
      </c>
    </row>
    <row r="97">
      <c r="A97" s="35" t="str">
        <f>IFERROR(__xludf.DUMMYFUNCTION("""COMPUTED_VALUE"""),"CDE 592 50kg  .pdf")</f>
        <v>CDE 592 50kg  .pdf</v>
      </c>
      <c r="B97" s="35" t="str">
        <f>IFERROR(__xludf.DUMMYFUNCTION("""COMPUTED_VALUE"""),"CDE592-AMB_WELLNESS-20240101.pdf")</f>
        <v>CDE592-AMB_WELLNESS-20240101.pdf</v>
      </c>
      <c r="C97" s="35" t="str">
        <f>IFERROR(__xludf.DUMMYFUNCTION("""COMPUTED_VALUE"""),"CDE592")</f>
        <v>CDE592</v>
      </c>
      <c r="D97" s="35" t="str">
        <f>IFERROR(__xludf.DUMMYFUNCTION("""COMPUTED_VALUE"""),"AMB_WELLNESS")</f>
        <v>AMB_WELLNESS</v>
      </c>
      <c r="E97" s="35">
        <f>IFERROR(__xludf.DUMMYFUNCTION("""COMPUTED_VALUE"""),2.0240101E7)</f>
        <v>20240101</v>
      </c>
      <c r="F97" s="35" t="str">
        <f>IFERROR(__xludf.DUMMYFUNCTION("""COMPUTED_VALUE"""),"SUCCESS")</f>
        <v>SUCCESS</v>
      </c>
    </row>
    <row r="98">
      <c r="A98" s="35" t="str">
        <f>IFERROR(__xludf.DUMMYFUNCTION("""COMPUTED_VALUE"""),"CDE 593 20kg  .pdf")</f>
        <v>CDE 593 20kg  .pdf</v>
      </c>
      <c r="B98" s="35" t="str">
        <f>IFERROR(__xludf.DUMMYFUNCTION("""COMPUTED_VALUE"""),"CDE593-AMB_WELLNESS-20240101.pdf")</f>
        <v>CDE593-AMB_WELLNESS-20240101.pdf</v>
      </c>
      <c r="C98" s="35" t="str">
        <f>IFERROR(__xludf.DUMMYFUNCTION("""COMPUTED_VALUE"""),"CDE593")</f>
        <v>CDE593</v>
      </c>
      <c r="D98" s="35" t="str">
        <f>IFERROR(__xludf.DUMMYFUNCTION("""COMPUTED_VALUE"""),"AMB_WELLNESS")</f>
        <v>AMB_WELLNESS</v>
      </c>
      <c r="E98" s="35">
        <f>IFERROR(__xludf.DUMMYFUNCTION("""COMPUTED_VALUE"""),2.0240101E7)</f>
        <v>20240101</v>
      </c>
      <c r="F98" s="35" t="str">
        <f>IFERROR(__xludf.DUMMYFUNCTION("""COMPUTED_VALUE"""),"SUCCESS")</f>
        <v>SUCCESS</v>
      </c>
    </row>
    <row r="99">
      <c r="A99" s="35" t="str">
        <f>IFERROR(__xludf.DUMMYFUNCTION("""COMPUTED_VALUE"""),"CDE 594 70kg  .pdf")</f>
        <v>CDE 594 70kg  .pdf</v>
      </c>
      <c r="B99" s="35" t="str">
        <f>IFERROR(__xludf.DUMMYFUNCTION("""COMPUTED_VALUE"""),"CDE594-AMB_WELLNESS-20240101.pdf")</f>
        <v>CDE594-AMB_WELLNESS-20240101.pdf</v>
      </c>
      <c r="C99" s="35" t="str">
        <f>IFERROR(__xludf.DUMMYFUNCTION("""COMPUTED_VALUE"""),"CDE594")</f>
        <v>CDE594</v>
      </c>
      <c r="D99" s="35" t="str">
        <f>IFERROR(__xludf.DUMMYFUNCTION("""COMPUTED_VALUE"""),"AMB_WELLNESS")</f>
        <v>AMB_WELLNESS</v>
      </c>
      <c r="E99" s="35">
        <f>IFERROR(__xludf.DUMMYFUNCTION("""COMPUTED_VALUE"""),2.0240101E7)</f>
        <v>20240101</v>
      </c>
      <c r="F99" s="35" t="str">
        <f>IFERROR(__xludf.DUMMYFUNCTION("""COMPUTED_VALUE"""),"SUCCESS")</f>
        <v>SUCCESS</v>
      </c>
    </row>
    <row r="100">
      <c r="A100" s="35" t="str">
        <f>IFERROR(__xludf.DUMMYFUNCTION("""COMPUTED_VALUE"""),"CDE 594 70kg  [1].pdf")</f>
        <v>CDE 594 70kg  [1].pdf</v>
      </c>
      <c r="B100" s="35" t="str">
        <f>IFERROR(__xludf.DUMMYFUNCTION("""COMPUTED_VALUE"""),"CDE594-AMB_WELLNESS-20240101.pdf")</f>
        <v>CDE594-AMB_WELLNESS-20240101.pdf</v>
      </c>
      <c r="C100" s="35" t="str">
        <f>IFERROR(__xludf.DUMMYFUNCTION("""COMPUTED_VALUE"""),"CDE594")</f>
        <v>CDE594</v>
      </c>
      <c r="D100" s="35" t="str">
        <f>IFERROR(__xludf.DUMMYFUNCTION("""COMPUTED_VALUE"""),"AMB_WELLNESS")</f>
        <v>AMB_WELLNESS</v>
      </c>
      <c r="E100" s="35">
        <f>IFERROR(__xludf.DUMMYFUNCTION("""COMPUTED_VALUE"""),2.0240101E7)</f>
        <v>20240101</v>
      </c>
      <c r="F100" s="35" t="str">
        <f>IFERROR(__xludf.DUMMYFUNCTION("""COMPUTED_VALUE"""),"SUCCESS")</f>
        <v>SUCCESS</v>
      </c>
    </row>
    <row r="101">
      <c r="A101" s="35" t="str">
        <f>IFERROR(__xludf.DUMMYFUNCTION("""COMPUTED_VALUE"""),"CDE 596 100kg  .pdf")</f>
        <v>CDE 596 100kg  .pdf</v>
      </c>
      <c r="B101" s="35" t="str">
        <f>IFERROR(__xludf.DUMMYFUNCTION("""COMPUTED_VALUE"""),"CDE596-AMB_WELLNESS-20240101.pdf")</f>
        <v>CDE596-AMB_WELLNESS-20240101.pdf</v>
      </c>
      <c r="C101" s="35" t="str">
        <f>IFERROR(__xludf.DUMMYFUNCTION("""COMPUTED_VALUE"""),"CDE596")</f>
        <v>CDE596</v>
      </c>
      <c r="D101" s="35" t="str">
        <f>IFERROR(__xludf.DUMMYFUNCTION("""COMPUTED_VALUE"""),"AMB_WELLNESS")</f>
        <v>AMB_WELLNESS</v>
      </c>
      <c r="E101" s="35">
        <f>IFERROR(__xludf.DUMMYFUNCTION("""COMPUTED_VALUE"""),2.0240101E7)</f>
        <v>20240101</v>
      </c>
      <c r="F101" s="35" t="str">
        <f>IFERROR(__xludf.DUMMYFUNCTION("""COMPUTED_VALUE"""),"SUCCESS")</f>
        <v>SUCCESS</v>
      </c>
    </row>
    <row r="102">
      <c r="A102" s="35" t="str">
        <f>IFERROR(__xludf.DUMMYFUNCTION("""COMPUTED_VALUE"""),"CDE 599 50kg  .pdf")</f>
        <v>CDE 599 50kg  .pdf</v>
      </c>
      <c r="B102" s="35" t="str">
        <f>IFERROR(__xludf.DUMMYFUNCTION("""COMPUTED_VALUE"""),"CDE599-AMB_WELLNESS-20240101.pdf")</f>
        <v>CDE599-AMB_WELLNESS-20240101.pdf</v>
      </c>
      <c r="C102" s="35" t="str">
        <f>IFERROR(__xludf.DUMMYFUNCTION("""COMPUTED_VALUE"""),"CDE599")</f>
        <v>CDE599</v>
      </c>
      <c r="D102" s="35" t="str">
        <f>IFERROR(__xludf.DUMMYFUNCTION("""COMPUTED_VALUE"""),"AMB_WELLNESS")</f>
        <v>AMB_WELLNESS</v>
      </c>
      <c r="E102" s="35">
        <f>IFERROR(__xludf.DUMMYFUNCTION("""COMPUTED_VALUE"""),2.0240101E7)</f>
        <v>20240101</v>
      </c>
      <c r="F102" s="35" t="str">
        <f>IFERROR(__xludf.DUMMYFUNCTION("""COMPUTED_VALUE"""),"SUCCESS")</f>
        <v>SUCCESS</v>
      </c>
    </row>
    <row r="103">
      <c r="A103" s="35" t="str">
        <f>IFERROR(__xludf.DUMMYFUNCTION("""COMPUTED_VALUE"""),"CDE 600 20kg  .pdf")</f>
        <v>CDE 600 20kg  .pdf</v>
      </c>
      <c r="B103" s="35" t="str">
        <f>IFERROR(__xludf.DUMMYFUNCTION("""COMPUTED_VALUE"""),"CDE600-AMB_WELLNESS-20240101.pdf")</f>
        <v>CDE600-AMB_WELLNESS-20240101.pdf</v>
      </c>
      <c r="C103" s="35" t="str">
        <f>IFERROR(__xludf.DUMMYFUNCTION("""COMPUTED_VALUE"""),"CDE600")</f>
        <v>CDE600</v>
      </c>
      <c r="D103" s="35" t="str">
        <f>IFERROR(__xludf.DUMMYFUNCTION("""COMPUTED_VALUE"""),"AMB_WELLNESS")</f>
        <v>AMB_WELLNESS</v>
      </c>
      <c r="E103" s="35">
        <f>IFERROR(__xludf.DUMMYFUNCTION("""COMPUTED_VALUE"""),2.0240101E7)</f>
        <v>20240101</v>
      </c>
      <c r="F103" s="35" t="str">
        <f>IFERROR(__xludf.DUMMYFUNCTION("""COMPUTED_VALUE"""),"SUCCESS")</f>
        <v>SUCCESS</v>
      </c>
    </row>
    <row r="104">
      <c r="A104" s="35" t="str">
        <f>IFERROR(__xludf.DUMMYFUNCTION("""COMPUTED_VALUE"""),"Commande 000139680.pdf")</f>
        <v>Commande 000139680.pdf</v>
      </c>
      <c r="B104" s="35"/>
      <c r="C104" s="35"/>
      <c r="D104" s="35"/>
      <c r="E104" s="35"/>
      <c r="F104" s="35" t="str">
        <f>IFERROR(__xludf.DUMMYFUNCTION("""COMPUTED_VALUE"""),"FAILED")</f>
        <v>FAILED</v>
      </c>
    </row>
    <row r="105">
      <c r="A105" s="35" t="str">
        <f>IFERROR(__xludf.DUMMYFUNCTION("""COMPUTED_VALUE"""),"Commande CF00011870-06-02-2024-NATURAL_MITCH.pdf")</f>
        <v>Commande CF00011870-06-02-2024-NATURAL_MITCH.pdf</v>
      </c>
      <c r="B105" s="35" t="str">
        <f>IFERROR(__xludf.DUMMYFUNCTION("""COMPUTED_VALUE"""),"CF00011870-NATURAL_MITCH-20240206.pdf")</f>
        <v>CF00011870-NATURAL_MITCH-20240206.pdf</v>
      </c>
      <c r="C105" s="35" t="str">
        <f>IFERROR(__xludf.DUMMYFUNCTION("""COMPUTED_VALUE"""),"CF00011870")</f>
        <v>CF00011870</v>
      </c>
      <c r="D105" s="35" t="str">
        <f>IFERROR(__xludf.DUMMYFUNCTION("""COMPUTED_VALUE"""),"NATURAL_MITCH")</f>
        <v>NATURAL_MITCH</v>
      </c>
      <c r="E105" s="35">
        <f>IFERROR(__xludf.DUMMYFUNCTION("""COMPUTED_VALUE"""),2.0240206E7)</f>
        <v>20240206</v>
      </c>
      <c r="F105" s="35" t="str">
        <f>IFERROR(__xludf.DUMMYFUNCTION("""COMPUTED_VALUE"""),"SUCCESS")</f>
        <v>SUCCESS</v>
      </c>
    </row>
    <row r="106">
      <c r="A106" s="35" t="str">
        <f>IFERROR(__xludf.DUMMYFUNCTION("""COMPUTED_VALUE"""),"Commande CF00011870.pdf")</f>
        <v>Commande CF00011870.pdf</v>
      </c>
      <c r="B106" s="35" t="str">
        <f>IFERROR(__xludf.DUMMYFUNCTION("""COMPUTED_VALUE"""),"CF00011870-AMB_WELLNESS-20240621.pdf")</f>
        <v>CF00011870-AMB_WELLNESS-20240621.pdf</v>
      </c>
      <c r="C106" s="35" t="str">
        <f>IFERROR(__xludf.DUMMYFUNCTION("""COMPUTED_VALUE"""),"CF00011870")</f>
        <v>CF00011870</v>
      </c>
      <c r="D106" s="35" t="str">
        <f>IFERROR(__xludf.DUMMYFUNCTION("""COMPUTED_VALUE"""),"AMB_WELLNESS")</f>
        <v>AMB_WELLNESS</v>
      </c>
      <c r="E106" s="35">
        <f>IFERROR(__xludf.DUMMYFUNCTION("""COMPUTED_VALUE"""),2.0240621E7)</f>
        <v>20240621</v>
      </c>
      <c r="F106" s="35" t="str">
        <f>IFERROR(__xludf.DUMMYFUNCTION("""COMPUTED_VALUE"""),"SUCCESS")</f>
        <v>SUCCESS</v>
      </c>
    </row>
    <row r="107">
      <c r="A107" s="35" t="str">
        <f>IFERROR(__xludf.DUMMYFUNCTION("""COMPUTED_VALUE"""),"CosmetiLab 18 - RFC - Constancia de Situación Fiscal - al 2024-01-09.pdf")</f>
        <v>CosmetiLab 18 - RFC - Constancia de Situación Fiscal - al 2024-01-09.pdf</v>
      </c>
      <c r="B107" s="35" t="str">
        <f>IFERROR(__xludf.DUMMYFUNCTION("""COMPUTED_VALUE"""),"2024-01-09-COSMETILAB-20090124.pdf")</f>
        <v>2024-01-09-COSMETILAB-20090124.pdf</v>
      </c>
      <c r="C107" s="36">
        <f>IFERROR(__xludf.DUMMYFUNCTION("""COMPUTED_VALUE"""),45300.0)</f>
        <v>45300</v>
      </c>
      <c r="D107" s="35" t="str">
        <f>IFERROR(__xludf.DUMMYFUNCTION("""COMPUTED_VALUE"""),"COSMETILAB")</f>
        <v>COSMETILAB</v>
      </c>
      <c r="E107" s="35">
        <f>IFERROR(__xludf.DUMMYFUNCTION("""COMPUTED_VALUE"""),2.0090124E7)</f>
        <v>20090124</v>
      </c>
      <c r="F107" s="35" t="str">
        <f>IFERROR(__xludf.DUMMYFUNCTION("""COMPUTED_VALUE"""),"SUCCESS")</f>
        <v>SUCCESS</v>
      </c>
    </row>
    <row r="108">
      <c r="A108" s="35" t="str">
        <f>IFERROR(__xludf.DUMMYFUNCTION("""COMPUTED_VALUE"""),"CosmetiLab 18 -31-01-2024-COSMETILAB_18.pdf")</f>
        <v>CosmetiLab 18 -31-01-2024-COSMETILAB_18.pdf</v>
      </c>
      <c r="B108" s="35"/>
      <c r="C108" s="35"/>
      <c r="D108" s="35"/>
      <c r="E108" s="35"/>
      <c r="F108" s="35" t="str">
        <f>IFERROR(__xludf.DUMMYFUNCTION("""COMPUTED_VALUE"""),"FAILED")</f>
        <v>FAILED</v>
      </c>
    </row>
    <row r="109">
      <c r="A109" s="35" t="str">
        <f>IFERROR(__xludf.DUMMYFUNCTION("""COMPUTED_VALUE"""),"DOC230224-23022024090030.pdf")</f>
        <v>DOC230224-23022024090030.pdf</v>
      </c>
      <c r="B109" s="35" t="str">
        <f>IFERROR(__xludf.DUMMYFUNCTION("""COMPUTED_VALUE"""),"OC230224-UNKNOWN-20240101.pdf")</f>
        <v>OC230224-UNKNOWN-20240101.pdf</v>
      </c>
      <c r="C109" s="35" t="str">
        <f>IFERROR(__xludf.DUMMYFUNCTION("""COMPUTED_VALUE"""),"OC230224")</f>
        <v>OC230224</v>
      </c>
      <c r="D109" s="35" t="str">
        <f>IFERROR(__xludf.DUMMYFUNCTION("""COMPUTED_VALUE"""),"UNKNOWN")</f>
        <v>UNKNOWN</v>
      </c>
      <c r="E109" s="35">
        <f>IFERROR(__xludf.DUMMYFUNCTION("""COMPUTED_VALUE"""),2.0240101E7)</f>
        <v>20240101</v>
      </c>
      <c r="F109" s="35" t="str">
        <f>IFERROR(__xludf.DUMMYFUNCTION("""COMPUTED_VALUE"""),"SUCCESS")</f>
        <v>SUCCESS</v>
      </c>
    </row>
    <row r="110">
      <c r="A110" s="35" t="str">
        <f>IFERROR(__xludf.DUMMYFUNCTION("""COMPUTED_VALUE"""),"Formato_CEMSA_Pedido_Compras_CP_001_240046.pdf")</f>
        <v>Formato_CEMSA_Pedido_Compras_CP_001_240046.pdf</v>
      </c>
      <c r="B110" s="35" t="str">
        <f>IFERROR(__xludf.DUMMYFUNCTION("""COMPUTED_VALUE"""),"CEMSA-240046-CEMSA-20240118.pdf")</f>
        <v>CEMSA-240046-CEMSA-20240118.pdf</v>
      </c>
      <c r="C110" s="35" t="str">
        <f>IFERROR(__xludf.DUMMYFUNCTION("""COMPUTED_VALUE"""),"CEMSA-240046")</f>
        <v>CEMSA-240046</v>
      </c>
      <c r="D110" s="35" t="str">
        <f>IFERROR(__xludf.DUMMYFUNCTION("""COMPUTED_VALUE"""),"CEMSA")</f>
        <v>CEMSA</v>
      </c>
      <c r="E110" s="35">
        <f>IFERROR(__xludf.DUMMYFUNCTION("""COMPUTED_VALUE"""),2.0240118E7)</f>
        <v>20240118</v>
      </c>
      <c r="F110" s="35" t="str">
        <f>IFERROR(__xludf.DUMMYFUNCTION("""COMPUTED_VALUE"""),"SUCCESS")</f>
        <v>SUCCESS</v>
      </c>
    </row>
    <row r="111">
      <c r="A111" s="35" t="str">
        <f>IFERROR(__xludf.DUMMYFUNCTION("""COMPUTED_VALUE"""),"Formato_CEMSA_Pedido_Compras_CP_001_240365.pdf")</f>
        <v>Formato_CEMSA_Pedido_Compras_CP_001_240365.pdf</v>
      </c>
      <c r="B111" s="35" t="str">
        <f>IFERROR(__xludf.DUMMYFUNCTION("""COMPUTED_VALUE"""),"CEMSA-240365-CEMSA-20240517.pdf")</f>
        <v>CEMSA-240365-CEMSA-20240517.pdf</v>
      </c>
      <c r="C111" s="35" t="str">
        <f>IFERROR(__xludf.DUMMYFUNCTION("""COMPUTED_VALUE"""),"CEMSA-240365")</f>
        <v>CEMSA-240365</v>
      </c>
      <c r="D111" s="35" t="str">
        <f>IFERROR(__xludf.DUMMYFUNCTION("""COMPUTED_VALUE"""),"CEMSA")</f>
        <v>CEMSA</v>
      </c>
      <c r="E111" s="35">
        <f>IFERROR(__xludf.DUMMYFUNCTION("""COMPUTED_VALUE"""),2.0240517E7)</f>
        <v>20240517</v>
      </c>
      <c r="F111" s="35" t="str">
        <f>IFERROR(__xludf.DUMMYFUNCTION("""COMPUTED_VALUE"""),"SUCCESS")</f>
        <v>SUCCESS</v>
      </c>
    </row>
    <row r="112">
      <c r="A112" s="35" t="str">
        <f>IFERROR(__xludf.DUMMYFUNCTION("""COMPUTED_VALUE"""),"JAD-240154-I-ST- ALOE VERA GEL -25kg.pdf")</f>
        <v>JAD-240154-I-ST- ALOE VERA GEL -25kg.pdf</v>
      </c>
      <c r="B112" s="35" t="str">
        <f>IFERROR(__xludf.DUMMYFUNCTION("""COMPUTED_VALUE"""),"JAD-240154-UNKNOWN-20240101.pdf")</f>
        <v>JAD-240154-UNKNOWN-20240101.pdf</v>
      </c>
      <c r="C112" s="35" t="str">
        <f>IFERROR(__xludf.DUMMYFUNCTION("""COMPUTED_VALUE"""),"JAD-240154")</f>
        <v>JAD-240154</v>
      </c>
      <c r="D112" s="35" t="str">
        <f>IFERROR(__xludf.DUMMYFUNCTION("""COMPUTED_VALUE"""),"UNKNOWN")</f>
        <v>UNKNOWN</v>
      </c>
      <c r="E112" s="35">
        <f>IFERROR(__xludf.DUMMYFUNCTION("""COMPUTED_VALUE"""),2.0240101E7)</f>
        <v>20240101</v>
      </c>
      <c r="F112" s="35" t="str">
        <f>IFERROR(__xludf.DUMMYFUNCTION("""COMPUTED_VALUE"""),"SUCCESS")</f>
        <v>SUCCESS</v>
      </c>
    </row>
    <row r="113">
      <c r="A113" s="35" t="str">
        <f>IFERROR(__xludf.DUMMYFUNCTION("""COMPUTED_VALUE"""),"JPD920_43_01_91100_247615_OP_0_0_en.pdf")</f>
        <v>JPD920_43_01_91100_247615_OP_0_0_en.pdf</v>
      </c>
      <c r="B113" s="35" t="str">
        <f>IFERROR(__xludf.DUMMYFUNCTION("""COMPUTED_VALUE"""),"JPD-247615-IMCD-20240101.pdf")</f>
        <v>JPD-247615-IMCD-20240101.pdf</v>
      </c>
      <c r="C113" s="35" t="str">
        <f>IFERROR(__xludf.DUMMYFUNCTION("""COMPUTED_VALUE"""),"JPD-247615")</f>
        <v>JPD-247615</v>
      </c>
      <c r="D113" s="35" t="str">
        <f>IFERROR(__xludf.DUMMYFUNCTION("""COMPUTED_VALUE"""),"IMCD")</f>
        <v>IMCD</v>
      </c>
      <c r="E113" s="35">
        <f>IFERROR(__xludf.DUMMYFUNCTION("""COMPUTED_VALUE"""),2.0240101E7)</f>
        <v>20240101</v>
      </c>
      <c r="F113" s="35" t="str">
        <f>IFERROR(__xludf.DUMMYFUNCTION("""COMPUTED_VALUE"""),"SUCCESS")</f>
        <v>SUCCESS</v>
      </c>
    </row>
    <row r="114">
      <c r="A114" s="35" t="str">
        <f>IFERROR(__xludf.DUMMYFUNCTION("""COMPUTED_VALUE"""),"JPD920_43_01_91100_249868_OP_0_0_en.pdf")</f>
        <v>JPD920_43_01_91100_249868_OP_0_0_en.pdf</v>
      </c>
      <c r="B114" s="35" t="str">
        <f>IFERROR(__xludf.DUMMYFUNCTION("""COMPUTED_VALUE"""),"JPD-249868-IMCD-20240101.pdf")</f>
        <v>JPD-249868-IMCD-20240101.pdf</v>
      </c>
      <c r="C114" s="35" t="str">
        <f>IFERROR(__xludf.DUMMYFUNCTION("""COMPUTED_VALUE"""),"JPD-249868")</f>
        <v>JPD-249868</v>
      </c>
      <c r="D114" s="35" t="str">
        <f>IFERROR(__xludf.DUMMYFUNCTION("""COMPUTED_VALUE"""),"IMCD")</f>
        <v>IMCD</v>
      </c>
      <c r="E114" s="35">
        <f>IFERROR(__xludf.DUMMYFUNCTION("""COMPUTED_VALUE"""),2.0240101E7)</f>
        <v>20240101</v>
      </c>
      <c r="F114" s="35" t="str">
        <f>IFERROR(__xludf.DUMMYFUNCTION("""COMPUTED_VALUE"""),"SUCCESS")</f>
        <v>SUCCESS</v>
      </c>
    </row>
    <row r="115">
      <c r="A115" s="35" t="str">
        <f>IFERROR(__xludf.DUMMYFUNCTION("""COMPUTED_VALUE"""),"JPD920_43_01_91100_254103_OP_0_0_en.pdf")</f>
        <v>JPD920_43_01_91100_254103_OP_0_0_en.pdf</v>
      </c>
      <c r="B115" s="35" t="str">
        <f>IFERROR(__xludf.DUMMYFUNCTION("""COMPUTED_VALUE"""),"JPD-254103-IMCD-20240101.pdf")</f>
        <v>JPD-254103-IMCD-20240101.pdf</v>
      </c>
      <c r="C115" s="35" t="str">
        <f>IFERROR(__xludf.DUMMYFUNCTION("""COMPUTED_VALUE"""),"JPD-254103")</f>
        <v>JPD-254103</v>
      </c>
      <c r="D115" s="35" t="str">
        <f>IFERROR(__xludf.DUMMYFUNCTION("""COMPUTED_VALUE"""),"IMCD")</f>
        <v>IMCD</v>
      </c>
      <c r="E115" s="35">
        <f>IFERROR(__xludf.DUMMYFUNCTION("""COMPUTED_VALUE"""),2.0240101E7)</f>
        <v>20240101</v>
      </c>
      <c r="F115" s="35" t="str">
        <f>IFERROR(__xludf.DUMMYFUNCTION("""COMPUTED_VALUE"""),"SUCCESS")</f>
        <v>SUCCESS</v>
      </c>
    </row>
    <row r="116">
      <c r="A116" s="35" t="str">
        <f>IFERROR(__xludf.DUMMYFUNCTION("""COMPUTED_VALUE"""),"NO202403000011.pdf")</f>
        <v>NO202403000011.pdf</v>
      </c>
      <c r="B116" s="35" t="str">
        <f>IFERROR(__xludf.DUMMYFUNCTION("""COMPUTED_VALUE"""),"NO202403000011-AGROMAYAL-20240101.pdf")</f>
        <v>NO202403000011-AGROMAYAL-20240101.pdf</v>
      </c>
      <c r="C116" s="35" t="str">
        <f>IFERROR(__xludf.DUMMYFUNCTION("""COMPUTED_VALUE"""),"NO202403000011")</f>
        <v>NO202403000011</v>
      </c>
      <c r="D116" s="35" t="str">
        <f>IFERROR(__xludf.DUMMYFUNCTION("""COMPUTED_VALUE"""),"AGROMAYAL")</f>
        <v>AGROMAYAL</v>
      </c>
      <c r="E116" s="35">
        <f>IFERROR(__xludf.DUMMYFUNCTION("""COMPUTED_VALUE"""),2.0240101E7)</f>
        <v>20240101</v>
      </c>
      <c r="F116" s="35" t="str">
        <f>IFERROR(__xludf.DUMMYFUNCTION("""COMPUTED_VALUE"""),"SUCCESS")</f>
        <v>SUCCESS</v>
      </c>
    </row>
    <row r="117">
      <c r="A117" s="35" t="str">
        <f>IFERROR(__xludf.DUMMYFUNCTION("""COMPUTED_VALUE"""),"NO202403000061[1].pdf")</f>
        <v>NO202403000061[1].pdf</v>
      </c>
      <c r="B117" s="35" t="str">
        <f>IFERROR(__xludf.DUMMYFUNCTION("""COMPUTED_VALUE"""),"NO202403000061-AGROMAYAL-20240101.pdf")</f>
        <v>NO202403000061-AGROMAYAL-20240101.pdf</v>
      </c>
      <c r="C117" s="35" t="str">
        <f>IFERROR(__xludf.DUMMYFUNCTION("""COMPUTED_VALUE"""),"NO202403000061")</f>
        <v>NO202403000061</v>
      </c>
      <c r="D117" s="35" t="str">
        <f>IFERROR(__xludf.DUMMYFUNCTION("""COMPUTED_VALUE"""),"AGROMAYAL")</f>
        <v>AGROMAYAL</v>
      </c>
      <c r="E117" s="35">
        <f>IFERROR(__xludf.DUMMYFUNCTION("""COMPUTED_VALUE"""),2.0240101E7)</f>
        <v>20240101</v>
      </c>
      <c r="F117" s="35" t="str">
        <f>IFERROR(__xludf.DUMMYFUNCTION("""COMPUTED_VALUE"""),"SUCCESS")</f>
        <v>SUCCESS</v>
      </c>
    </row>
    <row r="118">
      <c r="A118" s="35" t="str">
        <f>IFERROR(__xludf.DUMMYFUNCTION("""COMPUTED_VALUE"""),"New order Albaad - 4500300799.PDF")</f>
        <v>New order Albaad - 4500300799.PDF</v>
      </c>
      <c r="B118" s="35" t="str">
        <f>IFERROR(__xludf.DUMMYFUNCTION("""COMPUTED_VALUE"""),"4500300799-ALBAAD-20240101.pdf")</f>
        <v>4500300799-ALBAAD-20240101.pdf</v>
      </c>
      <c r="C118" s="35">
        <f>IFERROR(__xludf.DUMMYFUNCTION("""COMPUTED_VALUE"""),4.500300799E9)</f>
        <v>4500300799</v>
      </c>
      <c r="D118" s="35" t="str">
        <f>IFERROR(__xludf.DUMMYFUNCTION("""COMPUTED_VALUE"""),"ALBAAD")</f>
        <v>ALBAAD</v>
      </c>
      <c r="E118" s="35">
        <f>IFERROR(__xludf.DUMMYFUNCTION("""COMPUTED_VALUE"""),2.0240101E7)</f>
        <v>20240101</v>
      </c>
      <c r="F118" s="35" t="str">
        <f>IFERROR(__xludf.DUMMYFUNCTION("""COMPUTED_VALUE"""),"SUCCESS")</f>
        <v>SUCCESS</v>
      </c>
    </row>
    <row r="119">
      <c r="A119" s="35" t="str">
        <f>IFERROR(__xludf.DUMMYFUNCTION("""COMPUTED_VALUE"""),"New order Albaad - 4500302520.PDF")</f>
        <v>New order Albaad - 4500302520.PDF</v>
      </c>
      <c r="B119" s="35" t="str">
        <f>IFERROR(__xludf.DUMMYFUNCTION("""COMPUTED_VALUE"""),"4500302520-ALBAAD-20240101.pdf")</f>
        <v>4500302520-ALBAAD-20240101.pdf</v>
      </c>
      <c r="C119" s="35">
        <f>IFERROR(__xludf.DUMMYFUNCTION("""COMPUTED_VALUE"""),4.50030252E9)</f>
        <v>4500302520</v>
      </c>
      <c r="D119" s="35" t="str">
        <f>IFERROR(__xludf.DUMMYFUNCTION("""COMPUTED_VALUE"""),"ALBAAD")</f>
        <v>ALBAAD</v>
      </c>
      <c r="E119" s="35">
        <f>IFERROR(__xludf.DUMMYFUNCTION("""COMPUTED_VALUE"""),2.0240101E7)</f>
        <v>20240101</v>
      </c>
      <c r="F119" s="35" t="str">
        <f>IFERROR(__xludf.DUMMYFUNCTION("""COMPUTED_VALUE"""),"SUCCESS")</f>
        <v>SUCCESS</v>
      </c>
    </row>
    <row r="120">
      <c r="A120" s="35" t="str">
        <f>IFERROR(__xludf.DUMMYFUNCTION("""COMPUTED_VALUE"""),"New order Albaad - 4500302630.PDF")</f>
        <v>New order Albaad - 4500302630.PDF</v>
      </c>
      <c r="B120" s="35" t="str">
        <f>IFERROR(__xludf.DUMMYFUNCTION("""COMPUTED_VALUE"""),"4500302630-ALBAAD-20240101.pdf")</f>
        <v>4500302630-ALBAAD-20240101.pdf</v>
      </c>
      <c r="C120" s="35">
        <f>IFERROR(__xludf.DUMMYFUNCTION("""COMPUTED_VALUE"""),4.50030263E9)</f>
        <v>4500302630</v>
      </c>
      <c r="D120" s="35" t="str">
        <f>IFERROR(__xludf.DUMMYFUNCTION("""COMPUTED_VALUE"""),"ALBAAD")</f>
        <v>ALBAAD</v>
      </c>
      <c r="E120" s="35">
        <f>IFERROR(__xludf.DUMMYFUNCTION("""COMPUTED_VALUE"""),2.0240101E7)</f>
        <v>20240101</v>
      </c>
      <c r="F120" s="35" t="str">
        <f>IFERROR(__xludf.DUMMYFUNCTION("""COMPUTED_VALUE"""),"SUCCESS")</f>
        <v>SUCCESS</v>
      </c>
    </row>
    <row r="121">
      <c r="A121" s="35" t="str">
        <f>IFERROR(__xludf.DUMMYFUNCTION("""COMPUTED_VALUE"""),"New order Albaad - 4500303083.PDF")</f>
        <v>New order Albaad - 4500303083.PDF</v>
      </c>
      <c r="B121" s="35" t="str">
        <f>IFERROR(__xludf.DUMMYFUNCTION("""COMPUTED_VALUE"""),"4500303083-ALBAAD-20240101.pdf")</f>
        <v>4500303083-ALBAAD-20240101.pdf</v>
      </c>
      <c r="C121" s="35">
        <f>IFERROR(__xludf.DUMMYFUNCTION("""COMPUTED_VALUE"""),4.500303083E9)</f>
        <v>4500303083</v>
      </c>
      <c r="D121" s="35" t="str">
        <f>IFERROR(__xludf.DUMMYFUNCTION("""COMPUTED_VALUE"""),"ALBAAD")</f>
        <v>ALBAAD</v>
      </c>
      <c r="E121" s="35">
        <f>IFERROR(__xludf.DUMMYFUNCTION("""COMPUTED_VALUE"""),2.0240101E7)</f>
        <v>20240101</v>
      </c>
      <c r="F121" s="35" t="str">
        <f>IFERROR(__xludf.DUMMYFUNCTION("""COMPUTED_VALUE"""),"SUCCESS")</f>
        <v>SUCCESS</v>
      </c>
    </row>
    <row r="122">
      <c r="A122" s="35" t="str">
        <f>IFERROR(__xludf.DUMMYFUNCTION("""COMPUTED_VALUE"""),"New order Albaad - 4500305121.PDF")</f>
        <v>New order Albaad - 4500305121.PDF</v>
      </c>
      <c r="B122" s="35" t="str">
        <f>IFERROR(__xludf.DUMMYFUNCTION("""COMPUTED_VALUE"""),"4500305121-ALBAAD-20240101.pdf")</f>
        <v>4500305121-ALBAAD-20240101.pdf</v>
      </c>
      <c r="C122" s="35">
        <f>IFERROR(__xludf.DUMMYFUNCTION("""COMPUTED_VALUE"""),4.500305121E9)</f>
        <v>4500305121</v>
      </c>
      <c r="D122" s="35" t="str">
        <f>IFERROR(__xludf.DUMMYFUNCTION("""COMPUTED_VALUE"""),"ALBAAD")</f>
        <v>ALBAAD</v>
      </c>
      <c r="E122" s="35">
        <f>IFERROR(__xludf.DUMMYFUNCTION("""COMPUTED_VALUE"""),2.0240101E7)</f>
        <v>20240101</v>
      </c>
      <c r="F122" s="35" t="str">
        <f>IFERROR(__xludf.DUMMYFUNCTION("""COMPUTED_VALUE"""),"SUCCESS")</f>
        <v>SUCCESS</v>
      </c>
    </row>
    <row r="123">
      <c r="A123" s="35" t="str">
        <f>IFERROR(__xludf.DUMMYFUNCTION("""COMPUTED_VALUE"""),"New order Albaad - 4500306221.PDF")</f>
        <v>New order Albaad - 4500306221.PDF</v>
      </c>
      <c r="B123" s="35" t="str">
        <f>IFERROR(__xludf.DUMMYFUNCTION("""COMPUTED_VALUE"""),"4500306221-ALBAAD-20240101.pdf")</f>
        <v>4500306221-ALBAAD-20240101.pdf</v>
      </c>
      <c r="C123" s="35">
        <f>IFERROR(__xludf.DUMMYFUNCTION("""COMPUTED_VALUE"""),4.500306221E9)</f>
        <v>4500306221</v>
      </c>
      <c r="D123" s="35" t="str">
        <f>IFERROR(__xludf.DUMMYFUNCTION("""COMPUTED_VALUE"""),"ALBAAD")</f>
        <v>ALBAAD</v>
      </c>
      <c r="E123" s="35">
        <f>IFERROR(__xludf.DUMMYFUNCTION("""COMPUTED_VALUE"""),2.0240101E7)</f>
        <v>20240101</v>
      </c>
      <c r="F123" s="35" t="str">
        <f>IFERROR(__xludf.DUMMYFUNCTION("""COMPUTED_VALUE"""),"SUCCESS")</f>
        <v>SUCCESS</v>
      </c>
    </row>
    <row r="124">
      <c r="A124" s="35" t="str">
        <f>IFERROR(__xludf.DUMMYFUNCTION("""COMPUTED_VALUE"""),"New order Albaad - 4500306631.PDF")</f>
        <v>New order Albaad - 4500306631.PDF</v>
      </c>
      <c r="B124" s="35" t="str">
        <f>IFERROR(__xludf.DUMMYFUNCTION("""COMPUTED_VALUE"""),"4500306631-ALBAAD-20240101.pdf")</f>
        <v>4500306631-ALBAAD-20240101.pdf</v>
      </c>
      <c r="C124" s="35">
        <f>IFERROR(__xludf.DUMMYFUNCTION("""COMPUTED_VALUE"""),4.500306631E9)</f>
        <v>4500306631</v>
      </c>
      <c r="D124" s="35" t="str">
        <f>IFERROR(__xludf.DUMMYFUNCTION("""COMPUTED_VALUE"""),"ALBAAD")</f>
        <v>ALBAAD</v>
      </c>
      <c r="E124" s="35">
        <f>IFERROR(__xludf.DUMMYFUNCTION("""COMPUTED_VALUE"""),2.0240101E7)</f>
        <v>20240101</v>
      </c>
      <c r="F124" s="35" t="str">
        <f>IFERROR(__xludf.DUMMYFUNCTION("""COMPUTED_VALUE"""),"SUCCESS")</f>
        <v>SUCCESS</v>
      </c>
    </row>
    <row r="125">
      <c r="A125" s="35" t="str">
        <f>IFERROR(__xludf.DUMMYFUNCTION("""COMPUTED_VALUE"""),"New order Albaad - 4500307922.PDF")</f>
        <v>New order Albaad - 4500307922.PDF</v>
      </c>
      <c r="B125" s="35" t="str">
        <f>IFERROR(__xludf.DUMMYFUNCTION("""COMPUTED_VALUE"""),"4500307922-ALBAAD-20240101.pdf")</f>
        <v>4500307922-ALBAAD-20240101.pdf</v>
      </c>
      <c r="C125" s="35">
        <f>IFERROR(__xludf.DUMMYFUNCTION("""COMPUTED_VALUE"""),4.500307922E9)</f>
        <v>4500307922</v>
      </c>
      <c r="D125" s="35" t="str">
        <f>IFERROR(__xludf.DUMMYFUNCTION("""COMPUTED_VALUE"""),"ALBAAD")</f>
        <v>ALBAAD</v>
      </c>
      <c r="E125" s="35">
        <f>IFERROR(__xludf.DUMMYFUNCTION("""COMPUTED_VALUE"""),2.0240101E7)</f>
        <v>20240101</v>
      </c>
      <c r="F125" s="35" t="str">
        <f>IFERROR(__xludf.DUMMYFUNCTION("""COMPUTED_VALUE"""),"SUCCESS")</f>
        <v>SUCCESS</v>
      </c>
    </row>
    <row r="126">
      <c r="A126" s="35" t="str">
        <f>IFERROR(__xludf.DUMMYFUNCTION("""COMPUTED_VALUE"""),"New order Albaad - 4500308381.PDF")</f>
        <v>New order Albaad - 4500308381.PDF</v>
      </c>
      <c r="B126" s="35" t="str">
        <f>IFERROR(__xludf.DUMMYFUNCTION("""COMPUTED_VALUE"""),"4500308381-ALBAAD-20240101.pdf")</f>
        <v>4500308381-ALBAAD-20240101.pdf</v>
      </c>
      <c r="C126" s="35">
        <f>IFERROR(__xludf.DUMMYFUNCTION("""COMPUTED_VALUE"""),4.500308381E9)</f>
        <v>4500308381</v>
      </c>
      <c r="D126" s="35" t="str">
        <f>IFERROR(__xludf.DUMMYFUNCTION("""COMPUTED_VALUE"""),"ALBAAD")</f>
        <v>ALBAAD</v>
      </c>
      <c r="E126" s="35">
        <f>IFERROR(__xludf.DUMMYFUNCTION("""COMPUTED_VALUE"""),2.0240101E7)</f>
        <v>20240101</v>
      </c>
      <c r="F126" s="35" t="str">
        <f>IFERROR(__xludf.DUMMYFUNCTION("""COMPUTED_VALUE"""),"SUCCESS")</f>
        <v>SUCCESS</v>
      </c>
    </row>
    <row r="127">
      <c r="A127" s="35" t="str">
        <f>IFERROR(__xludf.DUMMYFUNCTION("""COMPUTED_VALUE"""),"New order Albaad - 4500309215.PDF")</f>
        <v>New order Albaad - 4500309215.PDF</v>
      </c>
      <c r="B127" s="35" t="str">
        <f>IFERROR(__xludf.DUMMYFUNCTION("""COMPUTED_VALUE"""),"4500309215-ALBAAD-20240101.pdf")</f>
        <v>4500309215-ALBAAD-20240101.pdf</v>
      </c>
      <c r="C127" s="35">
        <f>IFERROR(__xludf.DUMMYFUNCTION("""COMPUTED_VALUE"""),4.500309215E9)</f>
        <v>4500309215</v>
      </c>
      <c r="D127" s="35" t="str">
        <f>IFERROR(__xludf.DUMMYFUNCTION("""COMPUTED_VALUE"""),"ALBAAD")</f>
        <v>ALBAAD</v>
      </c>
      <c r="E127" s="35">
        <f>IFERROR(__xludf.DUMMYFUNCTION("""COMPUTED_VALUE"""),2.0240101E7)</f>
        <v>20240101</v>
      </c>
      <c r="F127" s="35" t="str">
        <f>IFERROR(__xludf.DUMMYFUNCTION("""COMPUTED_VALUE"""),"SUCCESS")</f>
        <v>SUCCESS</v>
      </c>
    </row>
    <row r="128">
      <c r="A128" s="35" t="str">
        <f>IFERROR(__xludf.DUMMYFUNCTION("""COMPUTED_VALUE"""),"New order Albaad - 4500309730.PDF")</f>
        <v>New order Albaad - 4500309730.PDF</v>
      </c>
      <c r="B128" s="35" t="str">
        <f>IFERROR(__xludf.DUMMYFUNCTION("""COMPUTED_VALUE"""),"4500309730-ALBAAD-20240101.pdf")</f>
        <v>4500309730-ALBAAD-20240101.pdf</v>
      </c>
      <c r="C128" s="35">
        <f>IFERROR(__xludf.DUMMYFUNCTION("""COMPUTED_VALUE"""),4.50030973E9)</f>
        <v>4500309730</v>
      </c>
      <c r="D128" s="35" t="str">
        <f>IFERROR(__xludf.DUMMYFUNCTION("""COMPUTED_VALUE"""),"ALBAAD")</f>
        <v>ALBAAD</v>
      </c>
      <c r="E128" s="35">
        <f>IFERROR(__xludf.DUMMYFUNCTION("""COMPUTED_VALUE"""),2.0240101E7)</f>
        <v>20240101</v>
      </c>
      <c r="F128" s="35" t="str">
        <f>IFERROR(__xludf.DUMMYFUNCTION("""COMPUTED_VALUE"""),"SUCCESS")</f>
        <v>SUCCESS</v>
      </c>
    </row>
    <row r="129">
      <c r="A129" s="35" t="str">
        <f>IFERROR(__xludf.DUMMYFUNCTION("""COMPUTED_VALUE"""),"New order Albaad - 4500309825.PDF")</f>
        <v>New order Albaad - 4500309825.PDF</v>
      </c>
      <c r="B129" s="35" t="str">
        <f>IFERROR(__xludf.DUMMYFUNCTION("""COMPUTED_VALUE"""),"4500309825-ALBAAD-20240101.pdf")</f>
        <v>4500309825-ALBAAD-20240101.pdf</v>
      </c>
      <c r="C129" s="35">
        <f>IFERROR(__xludf.DUMMYFUNCTION("""COMPUTED_VALUE"""),4.500309825E9)</f>
        <v>4500309825</v>
      </c>
      <c r="D129" s="35" t="str">
        <f>IFERROR(__xludf.DUMMYFUNCTION("""COMPUTED_VALUE"""),"ALBAAD")</f>
        <v>ALBAAD</v>
      </c>
      <c r="E129" s="35">
        <f>IFERROR(__xludf.DUMMYFUNCTION("""COMPUTED_VALUE"""),2.0240101E7)</f>
        <v>20240101</v>
      </c>
      <c r="F129" s="35" t="str">
        <f>IFERROR(__xludf.DUMMYFUNCTION("""COMPUTED_VALUE"""),"SUCCESS")</f>
        <v>SUCCESS</v>
      </c>
    </row>
    <row r="130">
      <c r="A130" s="35" t="str">
        <f>IFERROR(__xludf.DUMMYFUNCTION("""COMPUTED_VALUE"""),"New order Albaad - 4500310229.PDF")</f>
        <v>New order Albaad - 4500310229.PDF</v>
      </c>
      <c r="B130" s="35" t="str">
        <f>IFERROR(__xludf.DUMMYFUNCTION("""COMPUTED_VALUE"""),"4500310229-ALBAAD-20240101.pdf")</f>
        <v>4500310229-ALBAAD-20240101.pdf</v>
      </c>
      <c r="C130" s="35">
        <f>IFERROR(__xludf.DUMMYFUNCTION("""COMPUTED_VALUE"""),4.500310229E9)</f>
        <v>4500310229</v>
      </c>
      <c r="D130" s="35" t="str">
        <f>IFERROR(__xludf.DUMMYFUNCTION("""COMPUTED_VALUE"""),"ALBAAD")</f>
        <v>ALBAAD</v>
      </c>
      <c r="E130" s="35">
        <f>IFERROR(__xludf.DUMMYFUNCTION("""COMPUTED_VALUE"""),2.0240101E7)</f>
        <v>20240101</v>
      </c>
      <c r="F130" s="35" t="str">
        <f>IFERROR(__xludf.DUMMYFUNCTION("""COMPUTED_VALUE"""),"SUCCESS")</f>
        <v>SUCCESS</v>
      </c>
    </row>
    <row r="131">
      <c r="A131" s="35" t="str">
        <f>IFERROR(__xludf.DUMMYFUNCTION("""COMPUTED_VALUE"""),"New order Albaad - 4500310256.PDF")</f>
        <v>New order Albaad - 4500310256.PDF</v>
      </c>
      <c r="B131" s="35" t="str">
        <f>IFERROR(__xludf.DUMMYFUNCTION("""COMPUTED_VALUE"""),"4500310256-ALBAAD-20240101.pdf")</f>
        <v>4500310256-ALBAAD-20240101.pdf</v>
      </c>
      <c r="C131" s="35">
        <f>IFERROR(__xludf.DUMMYFUNCTION("""COMPUTED_VALUE"""),4.500310256E9)</f>
        <v>4500310256</v>
      </c>
      <c r="D131" s="35" t="str">
        <f>IFERROR(__xludf.DUMMYFUNCTION("""COMPUTED_VALUE"""),"ALBAAD")</f>
        <v>ALBAAD</v>
      </c>
      <c r="E131" s="35">
        <f>IFERROR(__xludf.DUMMYFUNCTION("""COMPUTED_VALUE"""),2.0240101E7)</f>
        <v>20240101</v>
      </c>
      <c r="F131" s="35" t="str">
        <f>IFERROR(__xludf.DUMMYFUNCTION("""COMPUTED_VALUE"""),"SUCCESS")</f>
        <v>SUCCESS</v>
      </c>
    </row>
    <row r="132">
      <c r="A132" s="35" t="str">
        <f>IFERROR(__xludf.DUMMYFUNCTION("""COMPUTED_VALUE"""),"New order Albaad - 4500312866.PDF")</f>
        <v>New order Albaad - 4500312866.PDF</v>
      </c>
      <c r="B132" s="35" t="str">
        <f>IFERROR(__xludf.DUMMYFUNCTION("""COMPUTED_VALUE"""),"4500312866-ALBAAD-20240101.pdf")</f>
        <v>4500312866-ALBAAD-20240101.pdf</v>
      </c>
      <c r="C132" s="35">
        <f>IFERROR(__xludf.DUMMYFUNCTION("""COMPUTED_VALUE"""),4.500312866E9)</f>
        <v>4500312866</v>
      </c>
      <c r="D132" s="35" t="str">
        <f>IFERROR(__xludf.DUMMYFUNCTION("""COMPUTED_VALUE"""),"ALBAAD")</f>
        <v>ALBAAD</v>
      </c>
      <c r="E132" s="35">
        <f>IFERROR(__xludf.DUMMYFUNCTION("""COMPUTED_VALUE"""),2.0240101E7)</f>
        <v>20240101</v>
      </c>
      <c r="F132" s="35" t="str">
        <f>IFERROR(__xludf.DUMMYFUNCTION("""COMPUTED_VALUE"""),"SUCCESS")</f>
        <v>SUCCESS</v>
      </c>
    </row>
    <row r="133">
      <c r="A133" s="35" t="str">
        <f>IFERROR(__xludf.DUMMYFUNCTION("""COMPUTED_VALUE"""),"New order Albaad - 4500314500.PDF")</f>
        <v>New order Albaad - 4500314500.PDF</v>
      </c>
      <c r="B133" s="35" t="str">
        <f>IFERROR(__xludf.DUMMYFUNCTION("""COMPUTED_VALUE"""),"4500314500-ALBAAD-20240101.pdf")</f>
        <v>4500314500-ALBAAD-20240101.pdf</v>
      </c>
      <c r="C133" s="35">
        <f>IFERROR(__xludf.DUMMYFUNCTION("""COMPUTED_VALUE"""),4.5003145E9)</f>
        <v>4500314500</v>
      </c>
      <c r="D133" s="35" t="str">
        <f>IFERROR(__xludf.DUMMYFUNCTION("""COMPUTED_VALUE"""),"ALBAAD")</f>
        <v>ALBAAD</v>
      </c>
      <c r="E133" s="35">
        <f>IFERROR(__xludf.DUMMYFUNCTION("""COMPUTED_VALUE"""),2.0240101E7)</f>
        <v>20240101</v>
      </c>
      <c r="F133" s="35" t="str">
        <f>IFERROR(__xludf.DUMMYFUNCTION("""COMPUTED_VALUE"""),"SUCCESS")</f>
        <v>SUCCESS</v>
      </c>
    </row>
    <row r="134">
      <c r="A134" s="35" t="str">
        <f>IFERROR(__xludf.DUMMYFUNCTION("""COMPUTED_VALUE"""),"New order Albaad - 4500315243.PDF")</f>
        <v>New order Albaad - 4500315243.PDF</v>
      </c>
      <c r="B134" s="35" t="str">
        <f>IFERROR(__xludf.DUMMYFUNCTION("""COMPUTED_VALUE"""),"4500315243-ALBAAD-20240101.pdf")</f>
        <v>4500315243-ALBAAD-20240101.pdf</v>
      </c>
      <c r="C134" s="35">
        <f>IFERROR(__xludf.DUMMYFUNCTION("""COMPUTED_VALUE"""),4.500315243E9)</f>
        <v>4500315243</v>
      </c>
      <c r="D134" s="35" t="str">
        <f>IFERROR(__xludf.DUMMYFUNCTION("""COMPUTED_VALUE"""),"ALBAAD")</f>
        <v>ALBAAD</v>
      </c>
      <c r="E134" s="35">
        <f>IFERROR(__xludf.DUMMYFUNCTION("""COMPUTED_VALUE"""),2.0240101E7)</f>
        <v>20240101</v>
      </c>
      <c r="F134" s="35" t="str">
        <f>IFERROR(__xludf.DUMMYFUNCTION("""COMPUTED_VALUE"""),"SUCCESS")</f>
        <v>SUCCESS</v>
      </c>
    </row>
    <row r="135">
      <c r="A135" s="35" t="str">
        <f>IFERROR(__xludf.DUMMYFUNCTION("""COMPUTED_VALUE"""),"New order Albaad - 4500315680.PDF")</f>
        <v>New order Albaad - 4500315680.PDF</v>
      </c>
      <c r="B135" s="35" t="str">
        <f>IFERROR(__xludf.DUMMYFUNCTION("""COMPUTED_VALUE"""),"4500315680-ALBAAD-20240101.pdf")</f>
        <v>4500315680-ALBAAD-20240101.pdf</v>
      </c>
      <c r="C135" s="35">
        <f>IFERROR(__xludf.DUMMYFUNCTION("""COMPUTED_VALUE"""),4.50031568E9)</f>
        <v>4500315680</v>
      </c>
      <c r="D135" s="35" t="str">
        <f>IFERROR(__xludf.DUMMYFUNCTION("""COMPUTED_VALUE"""),"ALBAAD")</f>
        <v>ALBAAD</v>
      </c>
      <c r="E135" s="35">
        <f>IFERROR(__xludf.DUMMYFUNCTION("""COMPUTED_VALUE"""),2.0240101E7)</f>
        <v>20240101</v>
      </c>
      <c r="F135" s="35" t="str">
        <f>IFERROR(__xludf.DUMMYFUNCTION("""COMPUTED_VALUE"""),"SUCCESS")</f>
        <v>SUCCESS</v>
      </c>
    </row>
    <row r="136">
      <c r="A136" s="35" t="str">
        <f>IFERROR(__xludf.DUMMYFUNCTION("""COMPUTED_VALUE"""),"New order Albaad - 4500317327.PDF")</f>
        <v>New order Albaad - 4500317327.PDF</v>
      </c>
      <c r="B136" s="35" t="str">
        <f>IFERROR(__xludf.DUMMYFUNCTION("""COMPUTED_VALUE"""),"4500317327-ALBAAD-20240101.pdf")</f>
        <v>4500317327-ALBAAD-20240101.pdf</v>
      </c>
      <c r="C136" s="35">
        <f>IFERROR(__xludf.DUMMYFUNCTION("""COMPUTED_VALUE"""),4.500317327E9)</f>
        <v>4500317327</v>
      </c>
      <c r="D136" s="35" t="str">
        <f>IFERROR(__xludf.DUMMYFUNCTION("""COMPUTED_VALUE"""),"ALBAAD")</f>
        <v>ALBAAD</v>
      </c>
      <c r="E136" s="35">
        <f>IFERROR(__xludf.DUMMYFUNCTION("""COMPUTED_VALUE"""),2.0240101E7)</f>
        <v>20240101</v>
      </c>
      <c r="F136" s="35" t="str">
        <f>IFERROR(__xludf.DUMMYFUNCTION("""COMPUTED_VALUE"""),"SUCCESS")</f>
        <v>SUCCESS</v>
      </c>
    </row>
    <row r="137">
      <c r="A137" s="35" t="str">
        <f>IFERROR(__xludf.DUMMYFUNCTION("""COMPUTED_VALUE"""),"Notice - HN2401F.pdf")</f>
        <v>Notice - HN2401F.pdf</v>
      </c>
      <c r="B137" s="35" t="str">
        <f>IFERROR(__xludf.DUMMYFUNCTION("""COMPUTED_VALUE"""),"HN2401F-AGROMAYAL-20240101.pdf")</f>
        <v>HN2401F-AGROMAYAL-20240101.pdf</v>
      </c>
      <c r="C137" s="35" t="str">
        <f>IFERROR(__xludf.DUMMYFUNCTION("""COMPUTED_VALUE"""),"HN2401F")</f>
        <v>HN2401F</v>
      </c>
      <c r="D137" s="35" t="str">
        <f>IFERROR(__xludf.DUMMYFUNCTION("""COMPUTED_VALUE"""),"AGROMAYAL")</f>
        <v>AGROMAYAL</v>
      </c>
      <c r="E137" s="35">
        <f>IFERROR(__xludf.DUMMYFUNCTION("""COMPUTED_VALUE"""),2.0240101E7)</f>
        <v>20240101</v>
      </c>
      <c r="F137" s="35" t="str">
        <f>IFERROR(__xludf.DUMMYFUNCTION("""COMPUTED_VALUE"""),"SUCCESS")</f>
        <v>SUCCESS</v>
      </c>
    </row>
    <row r="138">
      <c r="A138" s="35" t="str">
        <f>IFERROR(__xludf.DUMMYFUNCTION("""COMPUTED_VALUE"""),"OC 1212.pdf")</f>
        <v>OC 1212.pdf</v>
      </c>
      <c r="B138" s="35" t="str">
        <f>IFERROR(__xludf.DUMMYFUNCTION("""COMPUTED_VALUE"""),"OC1212-AMB_WELLNESS-20240119.pdf")</f>
        <v>OC1212-AMB_WELLNESS-20240119.pdf</v>
      </c>
      <c r="C138" s="35" t="str">
        <f>IFERROR(__xludf.DUMMYFUNCTION("""COMPUTED_VALUE"""),"OC1212")</f>
        <v>OC1212</v>
      </c>
      <c r="D138" s="35" t="str">
        <f>IFERROR(__xludf.DUMMYFUNCTION("""COMPUTED_VALUE"""),"AMB_WELLNESS")</f>
        <v>AMB_WELLNESS</v>
      </c>
      <c r="E138" s="35">
        <f>IFERROR(__xludf.DUMMYFUNCTION("""COMPUTED_VALUE"""),2.0240119E7)</f>
        <v>20240119</v>
      </c>
      <c r="F138" s="35" t="str">
        <f>IFERROR(__xludf.DUMMYFUNCTION("""COMPUTED_VALUE"""),"SUCCESS")</f>
        <v>SUCCESS</v>
      </c>
    </row>
    <row r="139">
      <c r="A139" s="35" t="str">
        <f>IFERROR(__xludf.DUMMYFUNCTION("""COMPUTED_VALUE"""),"OC AGRO 150424-09-08-2021-BE_HEMP_S.A_DE_C.V.pdf")</f>
        <v>OC AGRO 150424-09-08-2021-BE_HEMP_S.A_DE_C.V.pdf</v>
      </c>
      <c r="B139" s="35"/>
      <c r="C139" s="35"/>
      <c r="D139" s="35"/>
      <c r="E139" s="35"/>
      <c r="F139" s="35" t="str">
        <f>IFERROR(__xludf.DUMMYFUNCTION("""COMPUTED_VALUE"""),"FAILED")</f>
        <v>FAILED</v>
      </c>
    </row>
    <row r="140">
      <c r="A140" s="35" t="str">
        <f>IFERROR(__xludf.DUMMYFUNCTION("""COMPUTED_VALUE"""),"OC AGRO 150424.pdf")</f>
        <v>OC AGRO 150424.pdf</v>
      </c>
      <c r="B140" s="35"/>
      <c r="C140" s="35"/>
      <c r="D140" s="35"/>
      <c r="E140" s="35"/>
      <c r="F140" s="35" t="str">
        <f>IFERROR(__xludf.DUMMYFUNCTION("""COMPUTED_VALUE"""),"FAILED")</f>
        <v>FAILED</v>
      </c>
    </row>
    <row r="141">
      <c r="A141" s="35" t="str">
        <f>IFERROR(__xludf.DUMMYFUNCTION("""COMPUTED_VALUE"""),"OC AGRO 210524.pdf")</f>
        <v>OC AGRO 210524.pdf</v>
      </c>
      <c r="B141" s="35"/>
      <c r="C141" s="35"/>
      <c r="D141" s="35"/>
      <c r="E141" s="35"/>
      <c r="F141" s="35" t="str">
        <f>IFERROR(__xludf.DUMMYFUNCTION("""COMPUTED_VALUE"""),"FAILED")</f>
        <v>FAILED</v>
      </c>
    </row>
    <row r="142">
      <c r="A142" s="35" t="str">
        <f>IFERROR(__xludf.DUMMYFUNCTION("""COMPUTED_VALUE"""),"OC AGRO 250924.pdf")</f>
        <v>OC AGRO 250924.pdf</v>
      </c>
      <c r="B142" s="35"/>
      <c r="C142" s="35"/>
      <c r="D142" s="35"/>
      <c r="E142" s="35"/>
      <c r="F142" s="35" t="str">
        <f>IFERROR(__xludf.DUMMYFUNCTION("""COMPUTED_VALUE"""),"FAILED")</f>
        <v>FAILED</v>
      </c>
    </row>
    <row r="143">
      <c r="A143" s="35" t="str">
        <f>IFERROR(__xludf.DUMMYFUNCTION("""COMPUTED_VALUE"""),"OC AGRO 251024.pdf")</f>
        <v>OC AGRO 251024.pdf</v>
      </c>
      <c r="B143" s="35"/>
      <c r="C143" s="35"/>
      <c r="D143" s="35"/>
      <c r="E143" s="35"/>
      <c r="F143" s="35" t="str">
        <f>IFERROR(__xludf.DUMMYFUNCTION("""COMPUTED_VALUE"""),"FAILED")</f>
        <v>FAILED</v>
      </c>
    </row>
    <row r="144">
      <c r="A144" s="35" t="str">
        <f>IFERROR(__xludf.DUMMYFUNCTION("""COMPUTED_VALUE"""),"OC146 - CosmetiLab 18 - Agromayal Botanica - DOF 18-01-2024.pdf")</f>
        <v>OC146 - CosmetiLab 18 - Agromayal Botanica - DOF 18-01-2024.pdf</v>
      </c>
      <c r="B144" s="35" t="str">
        <f>IFERROR(__xludf.DUMMYFUNCTION("""COMPUTED_VALUE"""),"OC146-COSMETILAB-20240118.pdf")</f>
        <v>OC146-COSMETILAB-20240118.pdf</v>
      </c>
      <c r="C144" s="35" t="str">
        <f>IFERROR(__xludf.DUMMYFUNCTION("""COMPUTED_VALUE"""),"OC146")</f>
        <v>OC146</v>
      </c>
      <c r="D144" s="35" t="str">
        <f>IFERROR(__xludf.DUMMYFUNCTION("""COMPUTED_VALUE"""),"COSMETILAB")</f>
        <v>COSMETILAB</v>
      </c>
      <c r="E144" s="35">
        <f>IFERROR(__xludf.DUMMYFUNCTION("""COMPUTED_VALUE"""),2.0240118E7)</f>
        <v>20240118</v>
      </c>
      <c r="F144" s="35" t="str">
        <f>IFERROR(__xludf.DUMMYFUNCTION("""COMPUTED_VALUE"""),"SUCCESS")</f>
        <v>SUCCESS</v>
      </c>
    </row>
    <row r="145">
      <c r="A145" s="35" t="str">
        <f>IFERROR(__xludf.DUMMYFUNCTION("""COMPUTED_VALUE"""),"Order.PDF")</f>
        <v>Order.PDF</v>
      </c>
      <c r="B145" s="35" t="str">
        <f>IFERROR(__xludf.DUMMYFUNCTION("""COMPUTED_VALUE"""),"3-AGROMAYAL-20240101.pdf")</f>
        <v>3-AGROMAYAL-20240101.pdf</v>
      </c>
      <c r="C145" s="35">
        <f>IFERROR(__xludf.DUMMYFUNCTION("""COMPUTED_VALUE"""),3.0)</f>
        <v>3</v>
      </c>
      <c r="D145" s="35" t="str">
        <f>IFERROR(__xludf.DUMMYFUNCTION("""COMPUTED_VALUE"""),"AGROMAYAL")</f>
        <v>AGROMAYAL</v>
      </c>
      <c r="E145" s="35">
        <f>IFERROR(__xludf.DUMMYFUNCTION("""COMPUTED_VALUE"""),2.0240101E7)</f>
        <v>20240101</v>
      </c>
      <c r="F145" s="35" t="str">
        <f>IFERROR(__xludf.DUMMYFUNCTION("""COMPUTED_VALUE"""),"SUCCESS")</f>
        <v>SUCCESS</v>
      </c>
    </row>
    <row r="146">
      <c r="A146" s="35" t="str">
        <f>IFERROR(__xludf.DUMMYFUNCTION("""COMPUTED_VALUE"""),"PF240035 AMB.PDF")</f>
        <v>PF240035 AMB.PDF</v>
      </c>
      <c r="B146" s="35" t="str">
        <f>IFERROR(__xludf.DUMMYFUNCTION("""COMPUTED_VALUE"""),"PF240035-AMB_WELLNESS-20240101.pdf")</f>
        <v>PF240035-AMB_WELLNESS-20240101.pdf</v>
      </c>
      <c r="C146" s="35" t="str">
        <f>IFERROR(__xludf.DUMMYFUNCTION("""COMPUTED_VALUE"""),"PF240035")</f>
        <v>PF240035</v>
      </c>
      <c r="D146" s="35" t="str">
        <f>IFERROR(__xludf.DUMMYFUNCTION("""COMPUTED_VALUE"""),"AMB_WELLNESS")</f>
        <v>AMB_WELLNESS</v>
      </c>
      <c r="E146" s="35">
        <f>IFERROR(__xludf.DUMMYFUNCTION("""COMPUTED_VALUE"""),2.0240101E7)</f>
        <v>20240101</v>
      </c>
      <c r="F146" s="35" t="str">
        <f>IFERROR(__xludf.DUMMYFUNCTION("""COMPUTED_VALUE"""),"SUCCESS")</f>
        <v>SUCCESS</v>
      </c>
    </row>
    <row r="147">
      <c r="A147" s="35" t="str">
        <f>IFERROR(__xludf.DUMMYFUNCTION("""COMPUTED_VALUE"""),"PF240063 AMB.pdf")</f>
        <v>PF240063 AMB.pdf</v>
      </c>
      <c r="B147" s="35" t="str">
        <f>IFERROR(__xludf.DUMMYFUNCTION("""COMPUTED_VALUE"""),"PF240063-AMB_WELLNESS-20240101.pdf")</f>
        <v>PF240063-AMB_WELLNESS-20240101.pdf</v>
      </c>
      <c r="C147" s="35" t="str">
        <f>IFERROR(__xludf.DUMMYFUNCTION("""COMPUTED_VALUE"""),"PF240063")</f>
        <v>PF240063</v>
      </c>
      <c r="D147" s="35" t="str">
        <f>IFERROR(__xludf.DUMMYFUNCTION("""COMPUTED_VALUE"""),"AMB_WELLNESS")</f>
        <v>AMB_WELLNESS</v>
      </c>
      <c r="E147" s="35">
        <f>IFERROR(__xludf.DUMMYFUNCTION("""COMPUTED_VALUE"""),2.0240101E7)</f>
        <v>20240101</v>
      </c>
      <c r="F147" s="35" t="str">
        <f>IFERROR(__xludf.DUMMYFUNCTION("""COMPUTED_VALUE"""),"SUCCESS")</f>
        <v>SUCCESS</v>
      </c>
    </row>
    <row r="148">
      <c r="A148" s="35" t="str">
        <f>IFERROR(__xludf.DUMMYFUNCTION("""COMPUTED_VALUE"""),"PF240253 AMB.pdf")</f>
        <v>PF240253 AMB.pdf</v>
      </c>
      <c r="B148" s="35" t="str">
        <f>IFERROR(__xludf.DUMMYFUNCTION("""COMPUTED_VALUE"""),"PF240253-AMB_WELLNESS-20240101.pdf")</f>
        <v>PF240253-AMB_WELLNESS-20240101.pdf</v>
      </c>
      <c r="C148" s="35" t="str">
        <f>IFERROR(__xludf.DUMMYFUNCTION("""COMPUTED_VALUE"""),"PF240253")</f>
        <v>PF240253</v>
      </c>
      <c r="D148" s="35" t="str">
        <f>IFERROR(__xludf.DUMMYFUNCTION("""COMPUTED_VALUE"""),"AMB_WELLNESS")</f>
        <v>AMB_WELLNESS</v>
      </c>
      <c r="E148" s="35">
        <f>IFERROR(__xludf.DUMMYFUNCTION("""COMPUTED_VALUE"""),2.0240101E7)</f>
        <v>20240101</v>
      </c>
      <c r="F148" s="35" t="str">
        <f>IFERROR(__xludf.DUMMYFUNCTION("""COMPUTED_VALUE"""),"SUCCESS")</f>
        <v>SUCCESS</v>
      </c>
    </row>
    <row r="149">
      <c r="A149" s="35" t="str">
        <f>IFERROR(__xludf.DUMMYFUNCTION("""COMPUTED_VALUE"""),"PO 2249000071.pdf")</f>
        <v>PO 2249000071.pdf</v>
      </c>
      <c r="B149" s="35" t="str">
        <f>IFERROR(__xludf.DUMMYFUNCTION("""COMPUTED_VALUE"""),"2249000071-BARENTZ-20240101.pdf")</f>
        <v>2249000071-BARENTZ-20240101.pdf</v>
      </c>
      <c r="C149" s="35">
        <f>IFERROR(__xludf.DUMMYFUNCTION("""COMPUTED_VALUE"""),2.249000071E9)</f>
        <v>2249000071</v>
      </c>
      <c r="D149" s="35" t="str">
        <f>IFERROR(__xludf.DUMMYFUNCTION("""COMPUTED_VALUE"""),"BARENTZ")</f>
        <v>BARENTZ</v>
      </c>
      <c r="E149" s="35">
        <f>IFERROR(__xludf.DUMMYFUNCTION("""COMPUTED_VALUE"""),2.0240101E7)</f>
        <v>20240101</v>
      </c>
      <c r="F149" s="35" t="str">
        <f>IFERROR(__xludf.DUMMYFUNCTION("""COMPUTED_VALUE"""),"SUCCESS")</f>
        <v>SUCCESS</v>
      </c>
    </row>
    <row r="150">
      <c r="A150" s="35" t="str">
        <f>IFERROR(__xludf.DUMMYFUNCTION("""COMPUTED_VALUE"""),"PO 731 Po to Finland.pdf")</f>
        <v>PO 731 Po to Finland.pdf</v>
      </c>
      <c r="B150" s="35" t="str">
        <f>IFERROR(__xludf.DUMMYFUNCTION("""COMPUTED_VALUE"""),"731-PARFUSALE-20240101.pdf")</f>
        <v>731-PARFUSALE-20240101.pdf</v>
      </c>
      <c r="C150" s="35">
        <f>IFERROR(__xludf.DUMMYFUNCTION("""COMPUTED_VALUE"""),731.0)</f>
        <v>731</v>
      </c>
      <c r="D150" s="35" t="str">
        <f>IFERROR(__xludf.DUMMYFUNCTION("""COMPUTED_VALUE"""),"PARFUSALE")</f>
        <v>PARFUSALE</v>
      </c>
      <c r="E150" s="35">
        <f>IFERROR(__xludf.DUMMYFUNCTION("""COMPUTED_VALUE"""),2.0240101E7)</f>
        <v>20240101</v>
      </c>
      <c r="F150" s="35" t="str">
        <f>IFERROR(__xludf.DUMMYFUNCTION("""COMPUTED_VALUE"""),"SUCCESS")</f>
        <v>SUCCESS</v>
      </c>
    </row>
    <row r="151">
      <c r="A151" s="35" t="str">
        <f>IFERROR(__xludf.DUMMYFUNCTION("""COMPUTED_VALUE"""),"PO# 4007582.pdf")</f>
        <v>PO# 4007582.pdf</v>
      </c>
      <c r="B151" s="35" t="str">
        <f>IFERROR(__xludf.DUMMYFUNCTION("""COMPUTED_VALUE"""),"4007582-CHARKIT-20242601.pdf")</f>
        <v>4007582-CHARKIT-20242601.pdf</v>
      </c>
      <c r="C151" s="35">
        <f>IFERROR(__xludf.DUMMYFUNCTION("""COMPUTED_VALUE"""),4007582.0)</f>
        <v>4007582</v>
      </c>
      <c r="D151" s="35" t="str">
        <f>IFERROR(__xludf.DUMMYFUNCTION("""COMPUTED_VALUE"""),"CHARKIT")</f>
        <v>CHARKIT</v>
      </c>
      <c r="E151" s="35">
        <f>IFERROR(__xludf.DUMMYFUNCTION("""COMPUTED_VALUE"""),2.0242601E7)</f>
        <v>20242601</v>
      </c>
      <c r="F151" s="35" t="str">
        <f>IFERROR(__xludf.DUMMYFUNCTION("""COMPUTED_VALUE"""),"SUCCESS")</f>
        <v>SUCCESS</v>
      </c>
    </row>
    <row r="152">
      <c r="A152" s="35" t="str">
        <f>IFERROR(__xludf.DUMMYFUNCTION("""COMPUTED_VALUE"""),"PO# 4011946.pdf")</f>
        <v>PO# 4011946.pdf</v>
      </c>
      <c r="B152" s="35" t="str">
        <f>IFERROR(__xludf.DUMMYFUNCTION("""COMPUTED_VALUE"""),"4011946-CHARKIT-20241005.pdf")</f>
        <v>4011946-CHARKIT-20241005.pdf</v>
      </c>
      <c r="C152" s="35">
        <f>IFERROR(__xludf.DUMMYFUNCTION("""COMPUTED_VALUE"""),4011946.0)</f>
        <v>4011946</v>
      </c>
      <c r="D152" s="35" t="str">
        <f>IFERROR(__xludf.DUMMYFUNCTION("""COMPUTED_VALUE"""),"CHARKIT")</f>
        <v>CHARKIT</v>
      </c>
      <c r="E152" s="35">
        <f>IFERROR(__xludf.DUMMYFUNCTION("""COMPUTED_VALUE"""),2.0241005E7)</f>
        <v>20241005</v>
      </c>
      <c r="F152" s="35" t="str">
        <f>IFERROR(__xludf.DUMMYFUNCTION("""COMPUTED_VALUE"""),"SUCCESS")</f>
        <v>SUCCESS</v>
      </c>
    </row>
    <row r="153">
      <c r="A153" s="35" t="str">
        <f>IFERROR(__xludf.DUMMYFUNCTION("""COMPUTED_VALUE"""),"PO# 4015273.pdf")</f>
        <v>PO# 4015273.pdf</v>
      </c>
      <c r="B153" s="35" t="str">
        <f>IFERROR(__xludf.DUMMYFUNCTION("""COMPUTED_VALUE"""),"4015273-CHARKIT-20242908.pdf")</f>
        <v>4015273-CHARKIT-20242908.pdf</v>
      </c>
      <c r="C153" s="35">
        <f>IFERROR(__xludf.DUMMYFUNCTION("""COMPUTED_VALUE"""),4015273.0)</f>
        <v>4015273</v>
      </c>
      <c r="D153" s="35" t="str">
        <f>IFERROR(__xludf.DUMMYFUNCTION("""COMPUTED_VALUE"""),"CHARKIT")</f>
        <v>CHARKIT</v>
      </c>
      <c r="E153" s="35">
        <f>IFERROR(__xludf.DUMMYFUNCTION("""COMPUTED_VALUE"""),2.0242908E7)</f>
        <v>20242908</v>
      </c>
      <c r="F153" s="35" t="str">
        <f>IFERROR(__xludf.DUMMYFUNCTION("""COMPUTED_VALUE"""),"SUCCESS")</f>
        <v>SUCCESS</v>
      </c>
    </row>
    <row r="154">
      <c r="A154" s="35" t="str">
        <f>IFERROR(__xludf.DUMMYFUNCTION("""COMPUTED_VALUE"""),"PO# 4015439.pdf")</f>
        <v>PO# 4015439.pdf</v>
      </c>
      <c r="B154" s="35" t="str">
        <f>IFERROR(__xludf.DUMMYFUNCTION("""COMPUTED_VALUE"""),"4015439-CHARKIT-20240509.pdf")</f>
        <v>4015439-CHARKIT-20240509.pdf</v>
      </c>
      <c r="C154" s="35">
        <f>IFERROR(__xludf.DUMMYFUNCTION("""COMPUTED_VALUE"""),4015439.0)</f>
        <v>4015439</v>
      </c>
      <c r="D154" s="35" t="str">
        <f>IFERROR(__xludf.DUMMYFUNCTION("""COMPUTED_VALUE"""),"CHARKIT")</f>
        <v>CHARKIT</v>
      </c>
      <c r="E154" s="35">
        <f>IFERROR(__xludf.DUMMYFUNCTION("""COMPUTED_VALUE"""),2.0240509E7)</f>
        <v>20240509</v>
      </c>
      <c r="F154" s="35" t="str">
        <f>IFERROR(__xludf.DUMMYFUNCTION("""COMPUTED_VALUE"""),"SUCCESS")</f>
        <v>SUCCESS</v>
      </c>
    </row>
    <row r="155">
      <c r="A155" s="35" t="str">
        <f>IFERROR(__xludf.DUMMYFUNCTION("""COMPUTED_VALUE"""),"PO# 4017481.pdf")</f>
        <v>PO# 4017481.pdf</v>
      </c>
      <c r="B155" s="35" t="str">
        <f>IFERROR(__xludf.DUMMYFUNCTION("""COMPUTED_VALUE"""),"4017481-CHARKIT-20240611.pdf")</f>
        <v>4017481-CHARKIT-20240611.pdf</v>
      </c>
      <c r="C155" s="35">
        <f>IFERROR(__xludf.DUMMYFUNCTION("""COMPUTED_VALUE"""),4017481.0)</f>
        <v>4017481</v>
      </c>
      <c r="D155" s="35" t="str">
        <f>IFERROR(__xludf.DUMMYFUNCTION("""COMPUTED_VALUE"""),"CHARKIT")</f>
        <v>CHARKIT</v>
      </c>
      <c r="E155" s="35">
        <f>IFERROR(__xludf.DUMMYFUNCTION("""COMPUTED_VALUE"""),2.0240611E7)</f>
        <v>20240611</v>
      </c>
      <c r="F155" s="35" t="str">
        <f>IFERROR(__xludf.DUMMYFUNCTION("""COMPUTED_VALUE"""),"SUCCESS")</f>
        <v>SUCCESS</v>
      </c>
    </row>
    <row r="156">
      <c r="A156" s="35" t="str">
        <f>IFERROR(__xludf.DUMMYFUNCTION("""COMPUTED_VALUE"""),"PO#4500301006.pdf")</f>
        <v>PO#4500301006.pdf</v>
      </c>
      <c r="B156" s="35" t="str">
        <f>IFERROR(__xludf.DUMMYFUNCTION("""COMPUTED_VALUE"""),"4500301006-AMB_WELLNESS-20240101.pdf")</f>
        <v>4500301006-AMB_WELLNESS-20240101.pdf</v>
      </c>
      <c r="C156" s="35">
        <f>IFERROR(__xludf.DUMMYFUNCTION("""COMPUTED_VALUE"""),4.500301006E9)</f>
        <v>4500301006</v>
      </c>
      <c r="D156" s="35" t="str">
        <f>IFERROR(__xludf.DUMMYFUNCTION("""COMPUTED_VALUE"""),"AMB_WELLNESS")</f>
        <v>AMB_WELLNESS</v>
      </c>
      <c r="E156" s="35">
        <f>IFERROR(__xludf.DUMMYFUNCTION("""COMPUTED_VALUE"""),2.0240101E7)</f>
        <v>20240101</v>
      </c>
      <c r="F156" s="35" t="str">
        <f>IFERROR(__xludf.DUMMYFUNCTION("""COMPUTED_VALUE"""),"SUCCESS")</f>
        <v>SUCCESS</v>
      </c>
    </row>
    <row r="157">
      <c r="A157" s="35" t="str">
        <f>IFERROR(__xludf.DUMMYFUNCTION("""COMPUTED_VALUE"""),"PO#4500318621.pdf")</f>
        <v>PO#4500318621.pdf</v>
      </c>
      <c r="B157" s="35" t="str">
        <f>IFERROR(__xludf.DUMMYFUNCTION("""COMPUTED_VALUE"""),"4500318621-AMB_WELLNESS-20240101.pdf")</f>
        <v>4500318621-AMB_WELLNESS-20240101.pdf</v>
      </c>
      <c r="C157" s="35">
        <f>IFERROR(__xludf.DUMMYFUNCTION("""COMPUTED_VALUE"""),4.500318621E9)</f>
        <v>4500318621</v>
      </c>
      <c r="D157" s="35" t="str">
        <f>IFERROR(__xludf.DUMMYFUNCTION("""COMPUTED_VALUE"""),"AMB_WELLNESS")</f>
        <v>AMB_WELLNESS</v>
      </c>
      <c r="E157" s="35">
        <f>IFERROR(__xludf.DUMMYFUNCTION("""COMPUTED_VALUE"""),2.0240101E7)</f>
        <v>20240101</v>
      </c>
      <c r="F157" s="35" t="str">
        <f>IFERROR(__xludf.DUMMYFUNCTION("""COMPUTED_VALUE"""),"SUCCESS")</f>
        <v>SUCCESS</v>
      </c>
    </row>
    <row r="158">
      <c r="A158" s="35" t="str">
        <f>IFERROR(__xludf.DUMMYFUNCTION("""COMPUTED_VALUE"""),"PO#4500318621[1].pdf")</f>
        <v>PO#4500318621[1].pdf</v>
      </c>
      <c r="B158" s="35" t="str">
        <f>IFERROR(__xludf.DUMMYFUNCTION("""COMPUTED_VALUE"""),"4500318621-AMB_WELLNESS-20240101.pdf")</f>
        <v>4500318621-AMB_WELLNESS-20240101.pdf</v>
      </c>
      <c r="C158" s="35">
        <f>IFERROR(__xludf.DUMMYFUNCTION("""COMPUTED_VALUE"""),4.500318621E9)</f>
        <v>4500318621</v>
      </c>
      <c r="D158" s="35" t="str">
        <f>IFERROR(__xludf.DUMMYFUNCTION("""COMPUTED_VALUE"""),"AMB_WELLNESS")</f>
        <v>AMB_WELLNESS</v>
      </c>
      <c r="E158" s="35">
        <f>IFERROR(__xludf.DUMMYFUNCTION("""COMPUTED_VALUE"""),2.0240101E7)</f>
        <v>20240101</v>
      </c>
      <c r="F158" s="35" t="str">
        <f>IFERROR(__xludf.DUMMYFUNCTION("""COMPUTED_VALUE"""),"SUCCESS")</f>
        <v>SUCCESS</v>
      </c>
    </row>
    <row r="159">
      <c r="A159" s="35" t="str">
        <f>IFERROR(__xludf.DUMMYFUNCTION("""COMPUTED_VALUE"""),"PO-09-08-2021-EL_ALAMO_EXPORT_S.A..pdf")</f>
        <v>PO-09-08-2021-EL_ALAMO_EXPORT_S.A..pdf</v>
      </c>
      <c r="B159" s="35" t="str">
        <f>IFERROR(__xludf.DUMMYFUNCTION("""COMPUTED_VALUE"""),"2249100173-EL_ALAMO-20210809.pdf")</f>
        <v>2249100173-EL_ALAMO-20210809.pdf</v>
      </c>
      <c r="C159" s="35">
        <f>IFERROR(__xludf.DUMMYFUNCTION("""COMPUTED_VALUE"""),2.249100173E9)</f>
        <v>2249100173</v>
      </c>
      <c r="D159" s="35" t="str">
        <f>IFERROR(__xludf.DUMMYFUNCTION("""COMPUTED_VALUE"""),"EL_ALAMO")</f>
        <v>EL_ALAMO</v>
      </c>
      <c r="E159" s="35">
        <f>IFERROR(__xludf.DUMMYFUNCTION("""COMPUTED_VALUE"""),2.0210809E7)</f>
        <v>20210809</v>
      </c>
      <c r="F159" s="35" t="str">
        <f>IFERROR(__xludf.DUMMYFUNCTION("""COMPUTED_VALUE"""),"SUCCESS")</f>
        <v>SUCCESS</v>
      </c>
    </row>
    <row r="160">
      <c r="A160" s="35" t="str">
        <f>IFERROR(__xludf.DUMMYFUNCTION("""COMPUTED_VALUE"""),"PO-15-01-2024-ALPHATECH_SCIENCE_(T.pdf")</f>
        <v>PO-15-01-2024-ALPHATECH_SCIENCE_(T.pdf</v>
      </c>
      <c r="B160" s="35" t="str">
        <f>IFERROR(__xludf.DUMMYFUNCTION("""COMPUTED_VALUE"""),"3242500513-ALPHATECH-20240115.pdf")</f>
        <v>3242500513-ALPHATECH-20240115.pdf</v>
      </c>
      <c r="C160" s="35">
        <f>IFERROR(__xludf.DUMMYFUNCTION("""COMPUTED_VALUE"""),3.242500513E9)</f>
        <v>3242500513</v>
      </c>
      <c r="D160" s="35" t="str">
        <f>IFERROR(__xludf.DUMMYFUNCTION("""COMPUTED_VALUE"""),"ALPHATECH")</f>
        <v>ALPHATECH</v>
      </c>
      <c r="E160" s="35">
        <f>IFERROR(__xludf.DUMMYFUNCTION("""COMPUTED_VALUE"""),2.0240115E7)</f>
        <v>20240115</v>
      </c>
      <c r="F160" s="35" t="str">
        <f>IFERROR(__xludf.DUMMYFUNCTION("""COMPUTED_VALUE"""),"SUCCESS")</f>
        <v>SUCCESS</v>
      </c>
    </row>
    <row r="161">
      <c r="A161" s="35" t="str">
        <f>IFERROR(__xludf.DUMMYFUNCTION("""COMPUTED_VALUE"""),"PO-15-01-2024-Calipso_s.r.l.pdf")</f>
        <v>PO-15-01-2024-Calipso_s.r.l.pdf</v>
      </c>
      <c r="B161" s="35" t="str">
        <f>IFERROR(__xludf.DUMMYFUNCTION("""COMPUTED_VALUE"""),"3243500124-CALIPSO-20240115.pdf")</f>
        <v>3243500124-CALIPSO-20240115.pdf</v>
      </c>
      <c r="C161" s="35">
        <f>IFERROR(__xludf.DUMMYFUNCTION("""COMPUTED_VALUE"""),3.243500124E9)</f>
        <v>3243500124</v>
      </c>
      <c r="D161" s="35" t="str">
        <f>IFERROR(__xludf.DUMMYFUNCTION("""COMPUTED_VALUE"""),"CALIPSO")</f>
        <v>CALIPSO</v>
      </c>
      <c r="E161" s="35">
        <f>IFERROR(__xludf.DUMMYFUNCTION("""COMPUTED_VALUE"""),2.0240115E7)</f>
        <v>20240115</v>
      </c>
      <c r="F161" s="35" t="str">
        <f>IFERROR(__xludf.DUMMYFUNCTION("""COMPUTED_VALUE"""),"SUCCESS")</f>
        <v>SUCCESS</v>
      </c>
    </row>
    <row r="162">
      <c r="A162" s="35" t="str">
        <f>IFERROR(__xludf.DUMMYFUNCTION("""COMPUTED_VALUE"""),"PO-2233501238_20231110091311.pdf")</f>
        <v>PO-2233501238_20231110091311.pdf</v>
      </c>
      <c r="B162" s="35" t="str">
        <f>IFERROR(__xludf.DUMMYFUNCTION("""COMPUTED_VALUE"""),"2233501238-BARENTZ-20231110.pdf")</f>
        <v>2233501238-BARENTZ-20231110.pdf</v>
      </c>
      <c r="C162" s="35">
        <f>IFERROR(__xludf.DUMMYFUNCTION("""COMPUTED_VALUE"""),2.233501238E9)</f>
        <v>2233501238</v>
      </c>
      <c r="D162" s="35" t="str">
        <f>IFERROR(__xludf.DUMMYFUNCTION("""COMPUTED_VALUE"""),"BARENTZ")</f>
        <v>BARENTZ</v>
      </c>
      <c r="E162" s="35">
        <f>IFERROR(__xludf.DUMMYFUNCTION("""COMPUTED_VALUE"""),2.023111E7)</f>
        <v>20231110</v>
      </c>
      <c r="F162" s="35" t="str">
        <f>IFERROR(__xludf.DUMMYFUNCTION("""COMPUTED_VALUE"""),"SUCCESS")</f>
        <v>SUCCESS</v>
      </c>
    </row>
    <row r="163">
      <c r="A163" s="35" t="str">
        <f>IFERROR(__xludf.DUMMYFUNCTION("""COMPUTED_VALUE"""),"PO-2233501352_20231201125644.pdf")</f>
        <v>PO-2233501352_20231201125644.pdf</v>
      </c>
      <c r="B163" s="35" t="str">
        <f>IFERROR(__xludf.DUMMYFUNCTION("""COMPUTED_VALUE"""),"2233501352-BARENTZ-20231201.pdf")</f>
        <v>2233501352-BARENTZ-20231201.pdf</v>
      </c>
      <c r="C163" s="35">
        <f>IFERROR(__xludf.DUMMYFUNCTION("""COMPUTED_VALUE"""),2.233501352E9)</f>
        <v>2233501352</v>
      </c>
      <c r="D163" s="35" t="str">
        <f>IFERROR(__xludf.DUMMYFUNCTION("""COMPUTED_VALUE"""),"BARENTZ")</f>
        <v>BARENTZ</v>
      </c>
      <c r="E163" s="35">
        <f>IFERROR(__xludf.DUMMYFUNCTION("""COMPUTED_VALUE"""),2.0231201E7)</f>
        <v>20231201</v>
      </c>
      <c r="F163" s="35" t="str">
        <f>IFERROR(__xludf.DUMMYFUNCTION("""COMPUTED_VALUE"""),"SUCCESS")</f>
        <v>SUCCESS</v>
      </c>
    </row>
    <row r="164">
      <c r="A164" s="35" t="str">
        <f>IFERROR(__xludf.DUMMYFUNCTION("""COMPUTED_VALUE"""),"PO-2233501355_20231204100132.pdf")</f>
        <v>PO-2233501355_20231204100132.pdf</v>
      </c>
      <c r="B164" s="35" t="str">
        <f>IFERROR(__xludf.DUMMYFUNCTION("""COMPUTED_VALUE"""),"2233501355-BARENTZ-20231204.pdf")</f>
        <v>2233501355-BARENTZ-20231204.pdf</v>
      </c>
      <c r="C164" s="35">
        <f>IFERROR(__xludf.DUMMYFUNCTION("""COMPUTED_VALUE"""),2.233501355E9)</f>
        <v>2233501355</v>
      </c>
      <c r="D164" s="35" t="str">
        <f>IFERROR(__xludf.DUMMYFUNCTION("""COMPUTED_VALUE"""),"BARENTZ")</f>
        <v>BARENTZ</v>
      </c>
      <c r="E164" s="35">
        <f>IFERROR(__xludf.DUMMYFUNCTION("""COMPUTED_VALUE"""),2.0231204E7)</f>
        <v>20231204</v>
      </c>
      <c r="F164" s="35" t="str">
        <f>IFERROR(__xludf.DUMMYFUNCTION("""COMPUTED_VALUE"""),"SUCCESS")</f>
        <v>SUCCESS</v>
      </c>
    </row>
    <row r="165">
      <c r="A165" s="35" t="str">
        <f>IFERROR(__xludf.DUMMYFUNCTION("""COMPUTED_VALUE"""),"PO-2233501355_20231204100132[1].pdf")</f>
        <v>PO-2233501355_20231204100132[1].pdf</v>
      </c>
      <c r="B165" s="35" t="str">
        <f>IFERROR(__xludf.DUMMYFUNCTION("""COMPUTED_VALUE"""),"2233501355-BARENTZ-20231204.pdf")</f>
        <v>2233501355-BARENTZ-20231204.pdf</v>
      </c>
      <c r="C165" s="35">
        <f>IFERROR(__xludf.DUMMYFUNCTION("""COMPUTED_VALUE"""),2.233501355E9)</f>
        <v>2233501355</v>
      </c>
      <c r="D165" s="35" t="str">
        <f>IFERROR(__xludf.DUMMYFUNCTION("""COMPUTED_VALUE"""),"BARENTZ")</f>
        <v>BARENTZ</v>
      </c>
      <c r="E165" s="35">
        <f>IFERROR(__xludf.DUMMYFUNCTION("""COMPUTED_VALUE"""),2.0231204E7)</f>
        <v>20231204</v>
      </c>
      <c r="F165" s="35" t="str">
        <f>IFERROR(__xludf.DUMMYFUNCTION("""COMPUTED_VALUE"""),"SUCCESS")</f>
        <v>SUCCESS</v>
      </c>
    </row>
    <row r="166">
      <c r="A166" s="35" t="str">
        <f>IFERROR(__xludf.DUMMYFUNCTION("""COMPUTED_VALUE"""),"PO-2233501356_20231204101116.pdf")</f>
        <v>PO-2233501356_20231204101116.pdf</v>
      </c>
      <c r="B166" s="35" t="str">
        <f>IFERROR(__xludf.DUMMYFUNCTION("""COMPUTED_VALUE"""),"2233501356-BARENTZ-20231204.pdf")</f>
        <v>2233501356-BARENTZ-20231204.pdf</v>
      </c>
      <c r="C166" s="35">
        <f>IFERROR(__xludf.DUMMYFUNCTION("""COMPUTED_VALUE"""),2.233501356E9)</f>
        <v>2233501356</v>
      </c>
      <c r="D166" s="35" t="str">
        <f>IFERROR(__xludf.DUMMYFUNCTION("""COMPUTED_VALUE"""),"BARENTZ")</f>
        <v>BARENTZ</v>
      </c>
      <c r="E166" s="35">
        <f>IFERROR(__xludf.DUMMYFUNCTION("""COMPUTED_VALUE"""),2.0231204E7)</f>
        <v>20231204</v>
      </c>
      <c r="F166" s="35" t="str">
        <f>IFERROR(__xludf.DUMMYFUNCTION("""COMPUTED_VALUE"""),"SUCCESS")</f>
        <v>SUCCESS</v>
      </c>
    </row>
    <row r="167">
      <c r="A167" s="35" t="str">
        <f>IFERROR(__xludf.DUMMYFUNCTION("""COMPUTED_VALUE"""),"PO-2233501356_20231204101116[1].pdf")</f>
        <v>PO-2233501356_20231204101116[1].pdf</v>
      </c>
      <c r="B167" s="35" t="str">
        <f>IFERROR(__xludf.DUMMYFUNCTION("""COMPUTED_VALUE"""),"2233501356-BARENTZ-20231204.pdf")</f>
        <v>2233501356-BARENTZ-20231204.pdf</v>
      </c>
      <c r="C167" s="35">
        <f>IFERROR(__xludf.DUMMYFUNCTION("""COMPUTED_VALUE"""),2.233501356E9)</f>
        <v>2233501356</v>
      </c>
      <c r="D167" s="35" t="str">
        <f>IFERROR(__xludf.DUMMYFUNCTION("""COMPUTED_VALUE"""),"BARENTZ")</f>
        <v>BARENTZ</v>
      </c>
      <c r="E167" s="35">
        <f>IFERROR(__xludf.DUMMYFUNCTION("""COMPUTED_VALUE"""),2.0231204E7)</f>
        <v>20231204</v>
      </c>
      <c r="F167" s="35" t="str">
        <f>IFERROR(__xludf.DUMMYFUNCTION("""COMPUTED_VALUE"""),"SUCCESS")</f>
        <v>SUCCESS</v>
      </c>
    </row>
    <row r="168">
      <c r="A168" s="35" t="str">
        <f>IFERROR(__xludf.DUMMYFUNCTION("""COMPUTED_VALUE"""),"PO-2233501435_20231221170939.pdf")</f>
        <v>PO-2233501435_20231221170939.pdf</v>
      </c>
      <c r="B168" s="35" t="str">
        <f>IFERROR(__xludf.DUMMYFUNCTION("""COMPUTED_VALUE"""),"2233501435-BARENTZ-20231221.pdf")</f>
        <v>2233501435-BARENTZ-20231221.pdf</v>
      </c>
      <c r="C168" s="35">
        <f>IFERROR(__xludf.DUMMYFUNCTION("""COMPUTED_VALUE"""),2.233501435E9)</f>
        <v>2233501435</v>
      </c>
      <c r="D168" s="35" t="str">
        <f>IFERROR(__xludf.DUMMYFUNCTION("""COMPUTED_VALUE"""),"BARENTZ")</f>
        <v>BARENTZ</v>
      </c>
      <c r="E168" s="35">
        <f>IFERROR(__xludf.DUMMYFUNCTION("""COMPUTED_VALUE"""),2.0231221E7)</f>
        <v>20231221</v>
      </c>
      <c r="F168" s="35" t="str">
        <f>IFERROR(__xludf.DUMMYFUNCTION("""COMPUTED_VALUE"""),"SUCCESS")</f>
        <v>SUCCESS</v>
      </c>
    </row>
    <row r="169">
      <c r="A169" s="35" t="str">
        <f>IFERROR(__xludf.DUMMYFUNCTION("""COMPUTED_VALUE"""),"PO-2243500026_20240115151249.pdf")</f>
        <v>PO-2243500026_20240115151249.pdf</v>
      </c>
      <c r="B169" s="35" t="str">
        <f>IFERROR(__xludf.DUMMYFUNCTION("""COMPUTED_VALUE"""),"2243500026-BARENTZ-20240115.pdf")</f>
        <v>2243500026-BARENTZ-20240115.pdf</v>
      </c>
      <c r="C169" s="35">
        <f>IFERROR(__xludf.DUMMYFUNCTION("""COMPUTED_VALUE"""),2.243500026E9)</f>
        <v>2243500026</v>
      </c>
      <c r="D169" s="35" t="str">
        <f>IFERROR(__xludf.DUMMYFUNCTION("""COMPUTED_VALUE"""),"BARENTZ")</f>
        <v>BARENTZ</v>
      </c>
      <c r="E169" s="35">
        <f>IFERROR(__xludf.DUMMYFUNCTION("""COMPUTED_VALUE"""),2.0240115E7)</f>
        <v>20240115</v>
      </c>
      <c r="F169" s="35" t="str">
        <f>IFERROR(__xludf.DUMMYFUNCTION("""COMPUTED_VALUE"""),"SUCCESS")</f>
        <v>SUCCESS</v>
      </c>
    </row>
    <row r="170">
      <c r="A170" s="35" t="str">
        <f>IFERROR(__xludf.DUMMYFUNCTION("""COMPUTED_VALUE"""),"PO-2243500054_20240117155155.pdf")</f>
        <v>PO-2243500054_20240117155155.pdf</v>
      </c>
      <c r="B170" s="35" t="str">
        <f>IFERROR(__xludf.DUMMYFUNCTION("""COMPUTED_VALUE"""),"2243500054-BARENTZ-20240117.pdf")</f>
        <v>2243500054-BARENTZ-20240117.pdf</v>
      </c>
      <c r="C170" s="35">
        <f>IFERROR(__xludf.DUMMYFUNCTION("""COMPUTED_VALUE"""),2.243500054E9)</f>
        <v>2243500054</v>
      </c>
      <c r="D170" s="35" t="str">
        <f>IFERROR(__xludf.DUMMYFUNCTION("""COMPUTED_VALUE"""),"BARENTZ")</f>
        <v>BARENTZ</v>
      </c>
      <c r="E170" s="35">
        <f>IFERROR(__xludf.DUMMYFUNCTION("""COMPUTED_VALUE"""),2.0240117E7)</f>
        <v>20240117</v>
      </c>
      <c r="F170" s="35" t="str">
        <f>IFERROR(__xludf.DUMMYFUNCTION("""COMPUTED_VALUE"""),"SUCCESS")</f>
        <v>SUCCESS</v>
      </c>
    </row>
    <row r="171">
      <c r="A171" s="35" t="str">
        <f>IFERROR(__xludf.DUMMYFUNCTION("""COMPUTED_VALUE"""),"PO-2243500164_20240207124657.pdf")</f>
        <v>PO-2243500164_20240207124657.pdf</v>
      </c>
      <c r="B171" s="35" t="str">
        <f>IFERROR(__xludf.DUMMYFUNCTION("""COMPUTED_VALUE"""),"2243500164-BARENTZ-20240207.pdf")</f>
        <v>2243500164-BARENTZ-20240207.pdf</v>
      </c>
      <c r="C171" s="35">
        <f>IFERROR(__xludf.DUMMYFUNCTION("""COMPUTED_VALUE"""),2.243500164E9)</f>
        <v>2243500164</v>
      </c>
      <c r="D171" s="35" t="str">
        <f>IFERROR(__xludf.DUMMYFUNCTION("""COMPUTED_VALUE"""),"BARENTZ")</f>
        <v>BARENTZ</v>
      </c>
      <c r="E171" s="35">
        <f>IFERROR(__xludf.DUMMYFUNCTION("""COMPUTED_VALUE"""),2.0240207E7)</f>
        <v>20240207</v>
      </c>
      <c r="F171" s="35" t="str">
        <f>IFERROR(__xludf.DUMMYFUNCTION("""COMPUTED_VALUE"""),"SUCCESS")</f>
        <v>SUCCESS</v>
      </c>
    </row>
    <row r="172">
      <c r="A172" s="35" t="str">
        <f>IFERROR(__xludf.DUMMYFUNCTION("""COMPUTED_VALUE"""),"PO-2243500192_20240212155844.pdf")</f>
        <v>PO-2243500192_20240212155844.pdf</v>
      </c>
      <c r="B172" s="35" t="str">
        <f>IFERROR(__xludf.DUMMYFUNCTION("""COMPUTED_VALUE"""),"2243500192-BARENTZ-20240212.pdf")</f>
        <v>2243500192-BARENTZ-20240212.pdf</v>
      </c>
      <c r="C172" s="35">
        <f>IFERROR(__xludf.DUMMYFUNCTION("""COMPUTED_VALUE"""),2.243500192E9)</f>
        <v>2243500192</v>
      </c>
      <c r="D172" s="35" t="str">
        <f>IFERROR(__xludf.DUMMYFUNCTION("""COMPUTED_VALUE"""),"BARENTZ")</f>
        <v>BARENTZ</v>
      </c>
      <c r="E172" s="35">
        <f>IFERROR(__xludf.DUMMYFUNCTION("""COMPUTED_VALUE"""),2.0240212E7)</f>
        <v>20240212</v>
      </c>
      <c r="F172" s="35" t="str">
        <f>IFERROR(__xludf.DUMMYFUNCTION("""COMPUTED_VALUE"""),"SUCCESS")</f>
        <v>SUCCESS</v>
      </c>
    </row>
    <row r="173">
      <c r="A173" s="35" t="str">
        <f>IFERROR(__xludf.DUMMYFUNCTION("""COMPUTED_VALUE"""),"PO-2243500415_20240410110827.pdf")</f>
        <v>PO-2243500415_20240410110827.pdf</v>
      </c>
      <c r="B173" s="35" t="str">
        <f>IFERROR(__xludf.DUMMYFUNCTION("""COMPUTED_VALUE"""),"2243500415-BARENTZ-20240410.pdf")</f>
        <v>2243500415-BARENTZ-20240410.pdf</v>
      </c>
      <c r="C173" s="35">
        <f>IFERROR(__xludf.DUMMYFUNCTION("""COMPUTED_VALUE"""),2.243500415E9)</f>
        <v>2243500415</v>
      </c>
      <c r="D173" s="35" t="str">
        <f>IFERROR(__xludf.DUMMYFUNCTION("""COMPUTED_VALUE"""),"BARENTZ")</f>
        <v>BARENTZ</v>
      </c>
      <c r="E173" s="35">
        <f>IFERROR(__xludf.DUMMYFUNCTION("""COMPUTED_VALUE"""),2.024041E7)</f>
        <v>20240410</v>
      </c>
      <c r="F173" s="35" t="str">
        <f>IFERROR(__xludf.DUMMYFUNCTION("""COMPUTED_VALUE"""),"SUCCESS")</f>
        <v>SUCCESS</v>
      </c>
    </row>
    <row r="174">
      <c r="A174" s="35" t="str">
        <f>IFERROR(__xludf.DUMMYFUNCTION("""COMPUTED_VALUE"""),"PO-2243500443_20240417123215.pdf")</f>
        <v>PO-2243500443_20240417123215.pdf</v>
      </c>
      <c r="B174" s="35" t="str">
        <f>IFERROR(__xludf.DUMMYFUNCTION("""COMPUTED_VALUE"""),"2243500443-BARENTZ-20240417.pdf")</f>
        <v>2243500443-BARENTZ-20240417.pdf</v>
      </c>
      <c r="C174" s="35">
        <f>IFERROR(__xludf.DUMMYFUNCTION("""COMPUTED_VALUE"""),2.243500443E9)</f>
        <v>2243500443</v>
      </c>
      <c r="D174" s="35" t="str">
        <f>IFERROR(__xludf.DUMMYFUNCTION("""COMPUTED_VALUE"""),"BARENTZ")</f>
        <v>BARENTZ</v>
      </c>
      <c r="E174" s="35">
        <f>IFERROR(__xludf.DUMMYFUNCTION("""COMPUTED_VALUE"""),2.0240417E7)</f>
        <v>20240417</v>
      </c>
      <c r="F174" s="35" t="str">
        <f>IFERROR(__xludf.DUMMYFUNCTION("""COMPUTED_VALUE"""),"SUCCESS")</f>
        <v>SUCCESS</v>
      </c>
    </row>
    <row r="175">
      <c r="A175" s="35" t="str">
        <f>IFERROR(__xludf.DUMMYFUNCTION("""COMPUTED_VALUE"""),"PO-2243500460_20240419111833.pdf")</f>
        <v>PO-2243500460_20240419111833.pdf</v>
      </c>
      <c r="B175" s="35" t="str">
        <f>IFERROR(__xludf.DUMMYFUNCTION("""COMPUTED_VALUE"""),"2243500460-BARENTZ-20240419.pdf")</f>
        <v>2243500460-BARENTZ-20240419.pdf</v>
      </c>
      <c r="C175" s="35">
        <f>IFERROR(__xludf.DUMMYFUNCTION("""COMPUTED_VALUE"""),2.24350046E9)</f>
        <v>2243500460</v>
      </c>
      <c r="D175" s="35" t="str">
        <f>IFERROR(__xludf.DUMMYFUNCTION("""COMPUTED_VALUE"""),"BARENTZ")</f>
        <v>BARENTZ</v>
      </c>
      <c r="E175" s="35">
        <f>IFERROR(__xludf.DUMMYFUNCTION("""COMPUTED_VALUE"""),2.0240419E7)</f>
        <v>20240419</v>
      </c>
      <c r="F175" s="35" t="str">
        <f>IFERROR(__xludf.DUMMYFUNCTION("""COMPUTED_VALUE"""),"SUCCESS")</f>
        <v>SUCCESS</v>
      </c>
    </row>
    <row r="176">
      <c r="A176" s="35" t="str">
        <f>IFERROR(__xludf.DUMMYFUNCTION("""COMPUTED_VALUE"""),"PO-2243500460_20240530170403.pdf")</f>
        <v>PO-2243500460_20240530170403.pdf</v>
      </c>
      <c r="B176" s="35" t="str">
        <f>IFERROR(__xludf.DUMMYFUNCTION("""COMPUTED_VALUE"""),"2243500460-BARENTZ-20240530.pdf")</f>
        <v>2243500460-BARENTZ-20240530.pdf</v>
      </c>
      <c r="C176" s="35">
        <f>IFERROR(__xludf.DUMMYFUNCTION("""COMPUTED_VALUE"""),2.24350046E9)</f>
        <v>2243500460</v>
      </c>
      <c r="D176" s="35" t="str">
        <f>IFERROR(__xludf.DUMMYFUNCTION("""COMPUTED_VALUE"""),"BARENTZ")</f>
        <v>BARENTZ</v>
      </c>
      <c r="E176" s="35">
        <f>IFERROR(__xludf.DUMMYFUNCTION("""COMPUTED_VALUE"""),2.024053E7)</f>
        <v>20240530</v>
      </c>
      <c r="F176" s="35" t="str">
        <f>IFERROR(__xludf.DUMMYFUNCTION("""COMPUTED_VALUE"""),"SUCCESS")</f>
        <v>SUCCESS</v>
      </c>
    </row>
    <row r="177">
      <c r="A177" s="35" t="str">
        <f>IFERROR(__xludf.DUMMYFUNCTION("""COMPUTED_VALUE"""),"PO-2243500471_20240424170654.pdf")</f>
        <v>PO-2243500471_20240424170654.pdf</v>
      </c>
      <c r="B177" s="35" t="str">
        <f>IFERROR(__xludf.DUMMYFUNCTION("""COMPUTED_VALUE"""),"2243500471-BARENTZ-20240424.pdf")</f>
        <v>2243500471-BARENTZ-20240424.pdf</v>
      </c>
      <c r="C177" s="35">
        <f>IFERROR(__xludf.DUMMYFUNCTION("""COMPUTED_VALUE"""),2.243500471E9)</f>
        <v>2243500471</v>
      </c>
      <c r="D177" s="35" t="str">
        <f>IFERROR(__xludf.DUMMYFUNCTION("""COMPUTED_VALUE"""),"BARENTZ")</f>
        <v>BARENTZ</v>
      </c>
      <c r="E177" s="35">
        <f>IFERROR(__xludf.DUMMYFUNCTION("""COMPUTED_VALUE"""),2.0240424E7)</f>
        <v>20240424</v>
      </c>
      <c r="F177" s="35" t="str">
        <f>IFERROR(__xludf.DUMMYFUNCTION("""COMPUTED_VALUE"""),"SUCCESS")</f>
        <v>SUCCESS</v>
      </c>
    </row>
    <row r="178">
      <c r="A178" s="35" t="str">
        <f>IFERROR(__xludf.DUMMYFUNCTION("""COMPUTED_VALUE"""),"PO-2243500639_20240612113255.pdf")</f>
        <v>PO-2243500639_20240612113255.pdf</v>
      </c>
      <c r="B178" s="35" t="str">
        <f>IFERROR(__xludf.DUMMYFUNCTION("""COMPUTED_VALUE"""),"2243500639-BARENTZ-20240612.pdf")</f>
        <v>2243500639-BARENTZ-20240612.pdf</v>
      </c>
      <c r="C178" s="35">
        <f>IFERROR(__xludf.DUMMYFUNCTION("""COMPUTED_VALUE"""),2.243500639E9)</f>
        <v>2243500639</v>
      </c>
      <c r="D178" s="35" t="str">
        <f>IFERROR(__xludf.DUMMYFUNCTION("""COMPUTED_VALUE"""),"BARENTZ")</f>
        <v>BARENTZ</v>
      </c>
      <c r="E178" s="35">
        <f>IFERROR(__xludf.DUMMYFUNCTION("""COMPUTED_VALUE"""),2.0240612E7)</f>
        <v>20240612</v>
      </c>
      <c r="F178" s="35" t="str">
        <f>IFERROR(__xludf.DUMMYFUNCTION("""COMPUTED_VALUE"""),"SUCCESS")</f>
        <v>SUCCESS</v>
      </c>
    </row>
    <row r="179">
      <c r="A179" s="35" t="str">
        <f>IFERROR(__xludf.DUMMYFUNCTION("""COMPUTED_VALUE"""),"PO-2243500685_20240625104017.pdf")</f>
        <v>PO-2243500685_20240625104017.pdf</v>
      </c>
      <c r="B179" s="35" t="str">
        <f>IFERROR(__xludf.DUMMYFUNCTION("""COMPUTED_VALUE"""),"2243500685-BARENTZ-20240625.pdf")</f>
        <v>2243500685-BARENTZ-20240625.pdf</v>
      </c>
      <c r="C179" s="35">
        <f>IFERROR(__xludf.DUMMYFUNCTION("""COMPUTED_VALUE"""),2.243500685E9)</f>
        <v>2243500685</v>
      </c>
      <c r="D179" s="35" t="str">
        <f>IFERROR(__xludf.DUMMYFUNCTION("""COMPUTED_VALUE"""),"BARENTZ")</f>
        <v>BARENTZ</v>
      </c>
      <c r="E179" s="35">
        <f>IFERROR(__xludf.DUMMYFUNCTION("""COMPUTED_VALUE"""),2.0240625E7)</f>
        <v>20240625</v>
      </c>
      <c r="F179" s="35" t="str">
        <f>IFERROR(__xludf.DUMMYFUNCTION("""COMPUTED_VALUE"""),"SUCCESS")</f>
        <v>SUCCESS</v>
      </c>
    </row>
    <row r="180">
      <c r="A180" s="35" t="str">
        <f>IFERROR(__xludf.DUMMYFUNCTION("""COMPUTED_VALUE"""),"PO-2243500706_20240702122417.pdf")</f>
        <v>PO-2243500706_20240702122417.pdf</v>
      </c>
      <c r="B180" s="35" t="str">
        <f>IFERROR(__xludf.DUMMYFUNCTION("""COMPUTED_VALUE"""),"2243500706-BARENTZ-20240702.pdf")</f>
        <v>2243500706-BARENTZ-20240702.pdf</v>
      </c>
      <c r="C180" s="35">
        <f>IFERROR(__xludf.DUMMYFUNCTION("""COMPUTED_VALUE"""),2.243500706E9)</f>
        <v>2243500706</v>
      </c>
      <c r="D180" s="35" t="str">
        <f>IFERROR(__xludf.DUMMYFUNCTION("""COMPUTED_VALUE"""),"BARENTZ")</f>
        <v>BARENTZ</v>
      </c>
      <c r="E180" s="35">
        <f>IFERROR(__xludf.DUMMYFUNCTION("""COMPUTED_VALUE"""),2.0240702E7)</f>
        <v>20240702</v>
      </c>
      <c r="F180" s="35" t="str">
        <f>IFERROR(__xludf.DUMMYFUNCTION("""COMPUTED_VALUE"""),"SUCCESS")</f>
        <v>SUCCESS</v>
      </c>
    </row>
    <row r="181">
      <c r="A181" s="35" t="str">
        <f>IFERROR(__xludf.DUMMYFUNCTION("""COMPUTED_VALUE"""),"PO-2243500849_20240904095847.pdf")</f>
        <v>PO-2243500849_20240904095847.pdf</v>
      </c>
      <c r="B181" s="35" t="str">
        <f>IFERROR(__xludf.DUMMYFUNCTION("""COMPUTED_VALUE"""),"2243500849-BARENTZ-20240904.pdf")</f>
        <v>2243500849-BARENTZ-20240904.pdf</v>
      </c>
      <c r="C181" s="35">
        <f>IFERROR(__xludf.DUMMYFUNCTION("""COMPUTED_VALUE"""),2.243500849E9)</f>
        <v>2243500849</v>
      </c>
      <c r="D181" s="35" t="str">
        <f>IFERROR(__xludf.DUMMYFUNCTION("""COMPUTED_VALUE"""),"BARENTZ")</f>
        <v>BARENTZ</v>
      </c>
      <c r="E181" s="35">
        <f>IFERROR(__xludf.DUMMYFUNCTION("""COMPUTED_VALUE"""),2.0240904E7)</f>
        <v>20240904</v>
      </c>
      <c r="F181" s="35" t="str">
        <f>IFERROR(__xludf.DUMMYFUNCTION("""COMPUTED_VALUE"""),"SUCCESS")</f>
        <v>SUCCESS</v>
      </c>
    </row>
    <row r="182">
      <c r="A182" s="35" t="str">
        <f>IFERROR(__xludf.DUMMYFUNCTION("""COMPUTED_VALUE"""),"PO-2243500872_20240923111139.pdf")</f>
        <v>PO-2243500872_20240923111139.pdf</v>
      </c>
      <c r="B182" s="35" t="str">
        <f>IFERROR(__xludf.DUMMYFUNCTION("""COMPUTED_VALUE"""),"2243500872-BARENTZ-20240923.pdf")</f>
        <v>2243500872-BARENTZ-20240923.pdf</v>
      </c>
      <c r="C182" s="35">
        <f>IFERROR(__xludf.DUMMYFUNCTION("""COMPUTED_VALUE"""),2.243500872E9)</f>
        <v>2243500872</v>
      </c>
      <c r="D182" s="35" t="str">
        <f>IFERROR(__xludf.DUMMYFUNCTION("""COMPUTED_VALUE"""),"BARENTZ")</f>
        <v>BARENTZ</v>
      </c>
      <c r="E182" s="35">
        <f>IFERROR(__xludf.DUMMYFUNCTION("""COMPUTED_VALUE"""),2.0240923E7)</f>
        <v>20240923</v>
      </c>
      <c r="F182" s="35" t="str">
        <f>IFERROR(__xludf.DUMMYFUNCTION("""COMPUTED_VALUE"""),"SUCCESS")</f>
        <v>SUCCESS</v>
      </c>
    </row>
    <row r="183">
      <c r="A183" s="35" t="str">
        <f>IFERROR(__xludf.DUMMYFUNCTION("""COMPUTED_VALUE"""),"PO-2243500893_20240918164744.pdf")</f>
        <v>PO-2243500893_20240918164744.pdf</v>
      </c>
      <c r="B183" s="35" t="str">
        <f>IFERROR(__xludf.DUMMYFUNCTION("""COMPUTED_VALUE"""),"2243500893-BARENTZ-20240918.pdf")</f>
        <v>2243500893-BARENTZ-20240918.pdf</v>
      </c>
      <c r="C183" s="35">
        <f>IFERROR(__xludf.DUMMYFUNCTION("""COMPUTED_VALUE"""),2.243500893E9)</f>
        <v>2243500893</v>
      </c>
      <c r="D183" s="35" t="str">
        <f>IFERROR(__xludf.DUMMYFUNCTION("""COMPUTED_VALUE"""),"BARENTZ")</f>
        <v>BARENTZ</v>
      </c>
      <c r="E183" s="35">
        <f>IFERROR(__xludf.DUMMYFUNCTION("""COMPUTED_VALUE"""),2.0240918E7)</f>
        <v>20240918</v>
      </c>
      <c r="F183" s="35" t="str">
        <f>IFERROR(__xludf.DUMMYFUNCTION("""COMPUTED_VALUE"""),"SUCCESS")</f>
        <v>SUCCESS</v>
      </c>
    </row>
    <row r="184">
      <c r="A184" s="35" t="str">
        <f>IFERROR(__xludf.DUMMYFUNCTION("""COMPUTED_VALUE"""),"PO-2243500941_20241011092538.pdf")</f>
        <v>PO-2243500941_20241011092538.pdf</v>
      </c>
      <c r="B184" s="35" t="str">
        <f>IFERROR(__xludf.DUMMYFUNCTION("""COMPUTED_VALUE"""),"2243500941-BARENTZ-20241011.pdf")</f>
        <v>2243500941-BARENTZ-20241011.pdf</v>
      </c>
      <c r="C184" s="35">
        <f>IFERROR(__xludf.DUMMYFUNCTION("""COMPUTED_VALUE"""),2.243500941E9)</f>
        <v>2243500941</v>
      </c>
      <c r="D184" s="35" t="str">
        <f>IFERROR(__xludf.DUMMYFUNCTION("""COMPUTED_VALUE"""),"BARENTZ")</f>
        <v>BARENTZ</v>
      </c>
      <c r="E184" s="35">
        <f>IFERROR(__xludf.DUMMYFUNCTION("""COMPUTED_VALUE"""),2.0241011E7)</f>
        <v>20241011</v>
      </c>
      <c r="F184" s="35" t="str">
        <f>IFERROR(__xludf.DUMMYFUNCTION("""COMPUTED_VALUE"""),"SUCCESS")</f>
        <v>SUCCESS</v>
      </c>
    </row>
    <row r="185">
      <c r="A185" s="35" t="str">
        <f>IFERROR(__xludf.DUMMYFUNCTION("""COMPUTED_VALUE"""),"PO-2246600104_20240704104236.pdf")</f>
        <v>PO-2246600104_20240704104236.pdf</v>
      </c>
      <c r="B185" s="35" t="str">
        <f>IFERROR(__xludf.DUMMYFUNCTION("""COMPUTED_VALUE"""),"2246600104-BARENTZ-20240704.pdf")</f>
        <v>2246600104-BARENTZ-20240704.pdf</v>
      </c>
      <c r="C185" s="35">
        <f>IFERROR(__xludf.DUMMYFUNCTION("""COMPUTED_VALUE"""),2.246600104E9)</f>
        <v>2246600104</v>
      </c>
      <c r="D185" s="35" t="str">
        <f>IFERROR(__xludf.DUMMYFUNCTION("""COMPUTED_VALUE"""),"BARENTZ")</f>
        <v>BARENTZ</v>
      </c>
      <c r="E185" s="35">
        <f>IFERROR(__xludf.DUMMYFUNCTION("""COMPUTED_VALUE"""),2.0240704E7)</f>
        <v>20240704</v>
      </c>
      <c r="F185" s="35" t="str">
        <f>IFERROR(__xludf.DUMMYFUNCTION("""COMPUTED_VALUE"""),"SUCCESS")</f>
        <v>SUCCESS</v>
      </c>
    </row>
    <row r="186">
      <c r="A186" s="35" t="str">
        <f>IFERROR(__xludf.DUMMYFUNCTION("""COMPUTED_VALUE"""),"PO-2249100173_20240301130527.pdf")</f>
        <v>PO-2249100173_20240301130527.pdf</v>
      </c>
      <c r="B186" s="35" t="str">
        <f>IFERROR(__xludf.DUMMYFUNCTION("""COMPUTED_VALUE"""),"2249100173-BARENTZ-20240301.pdf")</f>
        <v>2249100173-BARENTZ-20240301.pdf</v>
      </c>
      <c r="C186" s="35">
        <f>IFERROR(__xludf.DUMMYFUNCTION("""COMPUTED_VALUE"""),2.249100173E9)</f>
        <v>2249100173</v>
      </c>
      <c r="D186" s="35" t="str">
        <f>IFERROR(__xludf.DUMMYFUNCTION("""COMPUTED_VALUE"""),"BARENTZ")</f>
        <v>BARENTZ</v>
      </c>
      <c r="E186" s="35">
        <f>IFERROR(__xludf.DUMMYFUNCTION("""COMPUTED_VALUE"""),2.0240301E7)</f>
        <v>20240301</v>
      </c>
      <c r="F186" s="35" t="str">
        <f>IFERROR(__xludf.DUMMYFUNCTION("""COMPUTED_VALUE"""),"SUCCESS")</f>
        <v>SUCCESS</v>
      </c>
    </row>
    <row r="187">
      <c r="A187" s="35" t="str">
        <f>IFERROR(__xludf.DUMMYFUNCTION("""COMPUTED_VALUE"""),"PO-2249500826_20240829164149.pdf")</f>
        <v>PO-2249500826_20240829164149.pdf</v>
      </c>
      <c r="B187" s="35" t="str">
        <f>IFERROR(__xludf.DUMMYFUNCTION("""COMPUTED_VALUE"""),"2249500826-BARENTZ-20240829.pdf")</f>
        <v>2249500826-BARENTZ-20240829.pdf</v>
      </c>
      <c r="C187" s="35">
        <f>IFERROR(__xludf.DUMMYFUNCTION("""COMPUTED_VALUE"""),2.249500826E9)</f>
        <v>2249500826</v>
      </c>
      <c r="D187" s="35" t="str">
        <f>IFERROR(__xludf.DUMMYFUNCTION("""COMPUTED_VALUE"""),"BARENTZ")</f>
        <v>BARENTZ</v>
      </c>
      <c r="E187" s="35">
        <f>IFERROR(__xludf.DUMMYFUNCTION("""COMPUTED_VALUE"""),2.0240829E7)</f>
        <v>20240829</v>
      </c>
      <c r="F187" s="35" t="str">
        <f>IFERROR(__xludf.DUMMYFUNCTION("""COMPUTED_VALUE"""),"SUCCESS")</f>
        <v>SUCCESS</v>
      </c>
    </row>
    <row r="188">
      <c r="A188" s="35" t="str">
        <f>IFERROR(__xludf.DUMMYFUNCTION("""COMPUTED_VALUE"""),"PO-2253501152_20251222121211.pdf")</f>
        <v>PO-2253501152_20251222121211.pdf</v>
      </c>
      <c r="B188" s="35" t="str">
        <f>IFERROR(__xludf.DUMMYFUNCTION("""COMPUTED_VALUE"""),"2253501152-BARENTZ-20251222.pdf")</f>
        <v>2253501152-BARENTZ-20251222.pdf</v>
      </c>
      <c r="C188" s="35">
        <f>IFERROR(__xludf.DUMMYFUNCTION("""COMPUTED_VALUE"""),2.253501152E9)</f>
        <v>2253501152</v>
      </c>
      <c r="D188" s="35" t="str">
        <f>IFERROR(__xludf.DUMMYFUNCTION("""COMPUTED_VALUE"""),"BARENTZ")</f>
        <v>BARENTZ</v>
      </c>
      <c r="E188" s="35">
        <f>IFERROR(__xludf.DUMMYFUNCTION("""COMPUTED_VALUE"""),2.0251222E7)</f>
        <v>20251222</v>
      </c>
      <c r="F188" s="35" t="str">
        <f>IFERROR(__xludf.DUMMYFUNCTION("""COMPUTED_VALUE"""),"SUCCESS")</f>
        <v>SUCCESS</v>
      </c>
    </row>
    <row r="189">
      <c r="A189" s="35" t="str">
        <f>IFERROR(__xludf.DUMMYFUNCTION("""COMPUTED_VALUE"""),"PO-3242500513_therascience.pdf")</f>
        <v>PO-3242500513_therascience.pdf</v>
      </c>
      <c r="B189" s="35" t="str">
        <f>IFERROR(__xludf.DUMMYFUNCTION("""COMPUTED_VALUE"""),"3242500513-THERASCIENCE-20240101.pdf")</f>
        <v>3242500513-THERASCIENCE-20240101.pdf</v>
      </c>
      <c r="C189" s="35">
        <f>IFERROR(__xludf.DUMMYFUNCTION("""COMPUTED_VALUE"""),3.242500513E9)</f>
        <v>3242500513</v>
      </c>
      <c r="D189" s="35" t="str">
        <f>IFERROR(__xludf.DUMMYFUNCTION("""COMPUTED_VALUE"""),"THERASCIENCE")</f>
        <v>THERASCIENCE</v>
      </c>
      <c r="E189" s="35">
        <f>IFERROR(__xludf.DUMMYFUNCTION("""COMPUTED_VALUE"""),2.0240101E7)</f>
        <v>20240101</v>
      </c>
      <c r="F189" s="35" t="str">
        <f>IFERROR(__xludf.DUMMYFUNCTION("""COMPUTED_VALUE"""),"SUCCESS")</f>
        <v>SUCCESS</v>
      </c>
    </row>
    <row r="190">
      <c r="A190" s="35" t="str">
        <f>IFERROR(__xludf.DUMMYFUNCTION("""COMPUTED_VALUE"""),"PO-3242500811_Bewell.pdf")</f>
        <v>PO-3242500811_Bewell.pdf</v>
      </c>
      <c r="B190" s="35" t="str">
        <f>IFERROR(__xludf.DUMMYFUNCTION("""COMPUTED_VALUE"""),"3242500811-BEWELL-20240101.pdf")</f>
        <v>3242500811-BEWELL-20240101.pdf</v>
      </c>
      <c r="C190" s="35">
        <f>IFERROR(__xludf.DUMMYFUNCTION("""COMPUTED_VALUE"""),3.242500811E9)</f>
        <v>3242500811</v>
      </c>
      <c r="D190" s="35" t="str">
        <f>IFERROR(__xludf.DUMMYFUNCTION("""COMPUTED_VALUE"""),"BEWELL")</f>
        <v>BEWELL</v>
      </c>
      <c r="E190" s="35">
        <f>IFERROR(__xludf.DUMMYFUNCTION("""COMPUTED_VALUE"""),2.0240101E7)</f>
        <v>20240101</v>
      </c>
      <c r="F190" s="35" t="str">
        <f>IFERROR(__xludf.DUMMYFUNCTION("""COMPUTED_VALUE"""),"SUCCESS")</f>
        <v>SUCCESS</v>
      </c>
    </row>
    <row r="191">
      <c r="A191" s="35" t="str">
        <f>IFERROR(__xludf.DUMMYFUNCTION("""COMPUTED_VALUE"""),"PO-3243500124_20240212114032.pdf")</f>
        <v>PO-3243500124_20240212114032.pdf</v>
      </c>
      <c r="B191" s="35" t="str">
        <f>IFERROR(__xludf.DUMMYFUNCTION("""COMPUTED_VALUE"""),"3243500124-BARENTZ-20240212.pdf")</f>
        <v>3243500124-BARENTZ-20240212.pdf</v>
      </c>
      <c r="C191" s="35">
        <f>IFERROR(__xludf.DUMMYFUNCTION("""COMPUTED_VALUE"""),3.243500124E9)</f>
        <v>3243500124</v>
      </c>
      <c r="D191" s="35" t="str">
        <f>IFERROR(__xludf.DUMMYFUNCTION("""COMPUTED_VALUE"""),"BARENTZ")</f>
        <v>BARENTZ</v>
      </c>
      <c r="E191" s="35">
        <f>IFERROR(__xludf.DUMMYFUNCTION("""COMPUTED_VALUE"""),2.0240212E7)</f>
        <v>20240212</v>
      </c>
      <c r="F191" s="35" t="str">
        <f>IFERROR(__xludf.DUMMYFUNCTION("""COMPUTED_VALUE"""),"SUCCESS")</f>
        <v>SUCCESS</v>
      </c>
    </row>
    <row r="192">
      <c r="A192" s="35" t="str">
        <f>IFERROR(__xludf.DUMMYFUNCTION("""COMPUTED_VALUE"""),"PO-3243500776_20241009155825.pdf")</f>
        <v>PO-3243500776_20241009155825.pdf</v>
      </c>
      <c r="B192" s="35" t="str">
        <f>IFERROR(__xludf.DUMMYFUNCTION("""COMPUTED_VALUE"""),"3243500776-BARENTZ-20241009.pdf")</f>
        <v>3243500776-BARENTZ-20241009.pdf</v>
      </c>
      <c r="C192" s="35">
        <f>IFERROR(__xludf.DUMMYFUNCTION("""COMPUTED_VALUE"""),3.243500776E9)</f>
        <v>3243500776</v>
      </c>
      <c r="D192" s="35" t="str">
        <f>IFERROR(__xludf.DUMMYFUNCTION("""COMPUTED_VALUE"""),"BARENTZ")</f>
        <v>BARENTZ</v>
      </c>
      <c r="E192" s="35">
        <f>IFERROR(__xludf.DUMMYFUNCTION("""COMPUTED_VALUE"""),2.0241009E7)</f>
        <v>20241009</v>
      </c>
      <c r="F192" s="35" t="str">
        <f>IFERROR(__xludf.DUMMYFUNCTION("""COMPUTED_VALUE"""),"SUCCESS")</f>
        <v>SUCCESS</v>
      </c>
    </row>
    <row r="193">
      <c r="A193" s="35" t="str">
        <f>IFERROR(__xludf.DUMMYFUNCTION("""COMPUTED_VALUE"""),"PO-4500314388.pdf")</f>
        <v>PO-4500314388.pdf</v>
      </c>
      <c r="B193" s="35" t="str">
        <f>IFERROR(__xludf.DUMMYFUNCTION("""COMPUTED_VALUE"""),"4500314388-BRENNTAG-20240101.pdf")</f>
        <v>4500314388-BRENNTAG-20240101.pdf</v>
      </c>
      <c r="C193" s="35">
        <f>IFERROR(__xludf.DUMMYFUNCTION("""COMPUTED_VALUE"""),4.500314388E9)</f>
        <v>4500314388</v>
      </c>
      <c r="D193" s="35" t="str">
        <f>IFERROR(__xludf.DUMMYFUNCTION("""COMPUTED_VALUE"""),"BRENNTAG")</f>
        <v>BRENNTAG</v>
      </c>
      <c r="E193" s="35">
        <f>IFERROR(__xludf.DUMMYFUNCTION("""COMPUTED_VALUE"""),2.0240101E7)</f>
        <v>20240101</v>
      </c>
      <c r="F193" s="35" t="str">
        <f>IFERROR(__xludf.DUMMYFUNCTION("""COMPUTED_VALUE"""),"SUCCESS")</f>
        <v>SUCCESS</v>
      </c>
    </row>
    <row r="194">
      <c r="A194" s="35" t="str">
        <f>IFERROR(__xludf.DUMMYFUNCTION("""COMPUTED_VALUE"""),"PO-4500322095.pdf")</f>
        <v>PO-4500322095.pdf</v>
      </c>
      <c r="B194" s="35" t="str">
        <f>IFERROR(__xludf.DUMMYFUNCTION("""COMPUTED_VALUE"""),"4500322095-BRENNTAG-20240101.pdf")</f>
        <v>4500322095-BRENNTAG-20240101.pdf</v>
      </c>
      <c r="C194" s="35">
        <f>IFERROR(__xludf.DUMMYFUNCTION("""COMPUTED_VALUE"""),4.500322095E9)</f>
        <v>4500322095</v>
      </c>
      <c r="D194" s="35" t="str">
        <f>IFERROR(__xludf.DUMMYFUNCTION("""COMPUTED_VALUE"""),"BRENNTAG")</f>
        <v>BRENNTAG</v>
      </c>
      <c r="E194" s="35">
        <f>IFERROR(__xludf.DUMMYFUNCTION("""COMPUTED_VALUE"""),2.0240101E7)</f>
        <v>20240101</v>
      </c>
      <c r="F194" s="35" t="str">
        <f>IFERROR(__xludf.DUMMYFUNCTION("""COMPUTED_VALUE"""),"SUCCESS")</f>
        <v>SUCCESS</v>
      </c>
    </row>
    <row r="195">
      <c r="A195" s="35" t="str">
        <f>IFERROR(__xludf.DUMMYFUNCTION("""COMPUTED_VALUE"""),"PO-661200069 ( สารสกัดว่านหางจระเข้ ).pdf")</f>
        <v>PO-661200069 ( สารสกัดว่านหางจระเข้ ).pdf</v>
      </c>
      <c r="B195" s="35"/>
      <c r="C195" s="35"/>
      <c r="D195" s="35"/>
      <c r="E195" s="35"/>
      <c r="F195" s="35" t="str">
        <f>IFERROR(__xludf.DUMMYFUNCTION("""COMPUTED_VALUE"""),"FAILED")</f>
        <v>FAILED</v>
      </c>
    </row>
    <row r="196">
      <c r="A196" s="35" t="str">
        <f>IFERROR(__xludf.DUMMYFUNCTION("""COMPUTED_VALUE"""),"PO-670700011.pdf")</f>
        <v>PO-670700011.pdf</v>
      </c>
      <c r="B196" s="35"/>
      <c r="C196" s="35"/>
      <c r="D196" s="35"/>
      <c r="E196" s="35"/>
      <c r="F196" s="35" t="str">
        <f>IFERROR(__xludf.DUMMYFUNCTION("""COMPUTED_VALUE"""),"FAILED")</f>
        <v>FAILED</v>
      </c>
    </row>
    <row r="197">
      <c r="A197" s="35" t="str">
        <f>IFERROR(__xludf.DUMMYFUNCTION("""COMPUTED_VALUE"""),"PO-671000039.pdf")</f>
        <v>PO-671000039.pdf</v>
      </c>
      <c r="B197" s="35"/>
      <c r="C197" s="35"/>
      <c r="D197" s="35"/>
      <c r="E197" s="35"/>
      <c r="F197" s="35" t="str">
        <f>IFERROR(__xludf.DUMMYFUNCTION("""COMPUTED_VALUE"""),"FAILED")</f>
        <v>FAILED</v>
      </c>
    </row>
    <row r="198">
      <c r="A198" s="35" t="str">
        <f>IFERROR(__xludf.DUMMYFUNCTION("""COMPUTED_VALUE"""),"PO-BL90350307-aweigel-2024-0131-093114.pdf")</f>
        <v>PO-BL90350307-aweigel-2024-0131-093114.pdf</v>
      </c>
      <c r="B198" s="35" t="str">
        <f>IFERROR(__xludf.DUMMYFUNCTION("""COMPUTED_VALUE"""),"2024-0131-093114-BARENTZ-20240101.pdf")</f>
        <v>2024-0131-093114-BARENTZ-20240101.pdf</v>
      </c>
      <c r="C198" s="35" t="str">
        <f>IFERROR(__xludf.DUMMYFUNCTION("""COMPUTED_VALUE"""),"2024-0131-093114")</f>
        <v>2024-0131-093114</v>
      </c>
      <c r="D198" s="35" t="str">
        <f>IFERROR(__xludf.DUMMYFUNCTION("""COMPUTED_VALUE"""),"BARENTZ")</f>
        <v>BARENTZ</v>
      </c>
      <c r="E198" s="35">
        <f>IFERROR(__xludf.DUMMYFUNCTION("""COMPUTED_VALUE"""),2.0240101E7)</f>
        <v>20240101</v>
      </c>
      <c r="F198" s="35" t="str">
        <f>IFERROR(__xludf.DUMMYFUNCTION("""COMPUTED_VALUE"""),"SUCCESS")</f>
        <v>SUCCESS</v>
      </c>
    </row>
    <row r="199">
      <c r="A199" s="35" t="str">
        <f>IFERROR(__xludf.DUMMYFUNCTION("""COMPUTED_VALUE"""),"PO-BL90391754-aweigel-2024-1008-094339.pdf")</f>
        <v>PO-BL90391754-aweigel-2024-1008-094339.pdf</v>
      </c>
      <c r="B199" s="35" t="str">
        <f>IFERROR(__xludf.DUMMYFUNCTION("""COMPUTED_VALUE"""),"2024-1008-094339-BARENTZ-20242310.pdf")</f>
        <v>2024-1008-094339-BARENTZ-20242310.pdf</v>
      </c>
      <c r="C199" s="35" t="str">
        <f>IFERROR(__xludf.DUMMYFUNCTION("""COMPUTED_VALUE"""),"2024-1008-094339")</f>
        <v>2024-1008-094339</v>
      </c>
      <c r="D199" s="35" t="str">
        <f>IFERROR(__xludf.DUMMYFUNCTION("""COMPUTED_VALUE"""),"BARENTZ")</f>
        <v>BARENTZ</v>
      </c>
      <c r="E199" s="35">
        <f>IFERROR(__xludf.DUMMYFUNCTION("""COMPUTED_VALUE"""),2.024231E7)</f>
        <v>20242310</v>
      </c>
      <c r="F199" s="35" t="str">
        <f>IFERROR(__xludf.DUMMYFUNCTION("""COMPUTED_VALUE"""),"SUCCESS")</f>
        <v>SUCCESS</v>
      </c>
    </row>
    <row r="200">
      <c r="A200" s="35" t="str">
        <f>IFERROR(__xludf.DUMMYFUNCTION("""COMPUTED_VALUE"""),"PO-HN2401F-24-01-2024-N BIOTECH.pdf")</f>
        <v>PO-HN2401F-24-01-2024-N BIOTECH.pdf</v>
      </c>
      <c r="B200" s="35" t="str">
        <f>IFERROR(__xludf.DUMMYFUNCTION("""COMPUTED_VALUE"""),"HN2401F-BIOTECH-20240124.pdf")</f>
        <v>HN2401F-BIOTECH-20240124.pdf</v>
      </c>
      <c r="C200" s="35" t="str">
        <f>IFERROR(__xludf.DUMMYFUNCTION("""COMPUTED_VALUE"""),"HN2401F")</f>
        <v>HN2401F</v>
      </c>
      <c r="D200" s="35" t="str">
        <f>IFERROR(__xludf.DUMMYFUNCTION("""COMPUTED_VALUE"""),"BIOTECH")</f>
        <v>BIOTECH</v>
      </c>
      <c r="E200" s="35">
        <f>IFERROR(__xludf.DUMMYFUNCTION("""COMPUTED_VALUE"""),2.0240124E7)</f>
        <v>20240124</v>
      </c>
      <c r="F200" s="35" t="str">
        <f>IFERROR(__xludf.DUMMYFUNCTION("""COMPUTED_VALUE"""),"SUCCESS")</f>
        <v>SUCCESS</v>
      </c>
    </row>
    <row r="201">
      <c r="A201" s="35" t="str">
        <f>IFERROR(__xludf.DUMMYFUNCTION("""COMPUTED_VALUE"""),"PO0076257 - Agromayal Botanica.pdf")</f>
        <v>PO0076257 - Agromayal Botanica.pdf</v>
      </c>
      <c r="B201" s="35" t="str">
        <f>IFERROR(__xludf.DUMMYFUNCTION("""COMPUTED_VALUE"""),"PO0076257-AGROMAYAL-20240101.pdf")</f>
        <v>PO0076257-AGROMAYAL-20240101.pdf</v>
      </c>
      <c r="C201" s="35" t="str">
        <f>IFERROR(__xludf.DUMMYFUNCTION("""COMPUTED_VALUE"""),"PO0076257")</f>
        <v>PO0076257</v>
      </c>
      <c r="D201" s="35" t="str">
        <f>IFERROR(__xludf.DUMMYFUNCTION("""COMPUTED_VALUE"""),"AGROMAYAL")</f>
        <v>AGROMAYAL</v>
      </c>
      <c r="E201" s="35">
        <f>IFERROR(__xludf.DUMMYFUNCTION("""COMPUTED_VALUE"""),2.0240101E7)</f>
        <v>20240101</v>
      </c>
      <c r="F201" s="35" t="str">
        <f>IFERROR(__xludf.DUMMYFUNCTION("""COMPUTED_VALUE"""),"SUCCESS")</f>
        <v>SUCCESS</v>
      </c>
    </row>
    <row r="202">
      <c r="A202" s="35" t="str">
        <f>IFERROR(__xludf.DUMMYFUNCTION("""COMPUTED_VALUE"""),"PO0076474 Agromayal Botanica.pdf")</f>
        <v>PO0076474 Agromayal Botanica.pdf</v>
      </c>
      <c r="B202" s="35" t="str">
        <f>IFERROR(__xludf.DUMMYFUNCTION("""COMPUTED_VALUE"""),"PO0076474-AGROMAYAL-20240101.pdf")</f>
        <v>PO0076474-AGROMAYAL-20240101.pdf</v>
      </c>
      <c r="C202" s="35" t="str">
        <f>IFERROR(__xludf.DUMMYFUNCTION("""COMPUTED_VALUE"""),"PO0076474")</f>
        <v>PO0076474</v>
      </c>
      <c r="D202" s="35" t="str">
        <f>IFERROR(__xludf.DUMMYFUNCTION("""COMPUTED_VALUE"""),"AGROMAYAL")</f>
        <v>AGROMAYAL</v>
      </c>
      <c r="E202" s="35">
        <f>IFERROR(__xludf.DUMMYFUNCTION("""COMPUTED_VALUE"""),2.0240101E7)</f>
        <v>20240101</v>
      </c>
      <c r="F202" s="35" t="str">
        <f>IFERROR(__xludf.DUMMYFUNCTION("""COMPUTED_VALUE"""),"SUCCESS")</f>
        <v>SUCCESS</v>
      </c>
    </row>
    <row r="203">
      <c r="A203" s="35" t="str">
        <f>IFERROR(__xludf.DUMMYFUNCTION("""COMPUTED_VALUE"""),"PO0076848 AGR01 AGROMAYAL BOTANICA.pdf")</f>
        <v>PO0076848 AGR01 AGROMAYAL BOTANICA.pdf</v>
      </c>
      <c r="B203" s="35" t="str">
        <f>IFERROR(__xludf.DUMMYFUNCTION("""COMPUTED_VALUE"""),"PO0076848-AGROMAYAL-20240101.pdf")</f>
        <v>PO0076848-AGROMAYAL-20240101.pdf</v>
      </c>
      <c r="C203" s="35" t="str">
        <f>IFERROR(__xludf.DUMMYFUNCTION("""COMPUTED_VALUE"""),"PO0076848")</f>
        <v>PO0076848</v>
      </c>
      <c r="D203" s="35" t="str">
        <f>IFERROR(__xludf.DUMMYFUNCTION("""COMPUTED_VALUE"""),"AGROMAYAL")</f>
        <v>AGROMAYAL</v>
      </c>
      <c r="E203" s="35">
        <f>IFERROR(__xludf.DUMMYFUNCTION("""COMPUTED_VALUE"""),2.0240101E7)</f>
        <v>20240101</v>
      </c>
      <c r="F203" s="35" t="str">
        <f>IFERROR(__xludf.DUMMYFUNCTION("""COMPUTED_VALUE"""),"SUCCESS")</f>
        <v>SUCCESS</v>
      </c>
    </row>
    <row r="204">
      <c r="A204" s="35" t="str">
        <f>IFERROR(__xludf.DUMMYFUNCTION("""COMPUTED_VALUE"""),"PO239005105-1.pdf")</f>
        <v>PO239005105-1.pdf</v>
      </c>
      <c r="B204" s="35" t="str">
        <f>IFERROR(__xludf.DUMMYFUNCTION("""COMPUTED_VALUE"""),"PO2390051-AGROMAYAL-20240508.pdf")</f>
        <v>PO2390051-AGROMAYAL-20240508.pdf</v>
      </c>
      <c r="C204" s="35" t="str">
        <f>IFERROR(__xludf.DUMMYFUNCTION("""COMPUTED_VALUE"""),"PO2390051")</f>
        <v>PO2390051</v>
      </c>
      <c r="D204" s="35" t="str">
        <f>IFERROR(__xludf.DUMMYFUNCTION("""COMPUTED_VALUE"""),"AGROMAYAL")</f>
        <v>AGROMAYAL</v>
      </c>
      <c r="E204" s="35">
        <f>IFERROR(__xludf.DUMMYFUNCTION("""COMPUTED_VALUE"""),2.0240508E7)</f>
        <v>20240508</v>
      </c>
      <c r="F204" s="35" t="str">
        <f>IFERROR(__xludf.DUMMYFUNCTION("""COMPUTED_VALUE"""),"SUCCESS")</f>
        <v>SUCCESS</v>
      </c>
    </row>
    <row r="205">
      <c r="A205" s="35" t="str">
        <f>IFERROR(__xludf.DUMMYFUNCTION("""COMPUTED_VALUE"""),"PO346001555-1.pdf")</f>
        <v>PO346001555-1.pdf</v>
      </c>
      <c r="B205" s="35" t="str">
        <f>IFERROR(__xludf.DUMMYFUNCTION("""COMPUTED_VALUE"""),"PO3460015-AMB_WELLNESS-20240415.pdf")</f>
        <v>PO3460015-AMB_WELLNESS-20240415.pdf</v>
      </c>
      <c r="C205" s="35" t="str">
        <f>IFERROR(__xludf.DUMMYFUNCTION("""COMPUTED_VALUE"""),"PO3460015")</f>
        <v>PO3460015</v>
      </c>
      <c r="D205" s="35" t="str">
        <f>IFERROR(__xludf.DUMMYFUNCTION("""COMPUTED_VALUE"""),"AMB_WELLNESS")</f>
        <v>AMB_WELLNESS</v>
      </c>
      <c r="E205" s="35">
        <f>IFERROR(__xludf.DUMMYFUNCTION("""COMPUTED_VALUE"""),2.0240415E7)</f>
        <v>20240415</v>
      </c>
      <c r="F205" s="35" t="str">
        <f>IFERROR(__xludf.DUMMYFUNCTION("""COMPUTED_VALUE"""),"SUCCESS")</f>
        <v>SUCCESS</v>
      </c>
    </row>
    <row r="206">
      <c r="A206" s="35" t="str">
        <f>IFERROR(__xludf.DUMMYFUNCTION("""COMPUTED_VALUE"""),"PO346001712-1.pdf")</f>
        <v>PO346001712-1.pdf</v>
      </c>
      <c r="B206" s="35" t="str">
        <f>IFERROR(__xludf.DUMMYFUNCTION("""COMPUTED_VALUE"""),"PO3460017-AMB_WELLNESS-20240614.pdf")</f>
        <v>PO3460017-AMB_WELLNESS-20240614.pdf</v>
      </c>
      <c r="C206" s="35" t="str">
        <f>IFERROR(__xludf.DUMMYFUNCTION("""COMPUTED_VALUE"""),"PO3460017")</f>
        <v>PO3460017</v>
      </c>
      <c r="D206" s="35" t="str">
        <f>IFERROR(__xludf.DUMMYFUNCTION("""COMPUTED_VALUE"""),"AMB_WELLNESS")</f>
        <v>AMB_WELLNESS</v>
      </c>
      <c r="E206" s="35">
        <f>IFERROR(__xludf.DUMMYFUNCTION("""COMPUTED_VALUE"""),2.0240614E7)</f>
        <v>20240614</v>
      </c>
      <c r="F206" s="35" t="str">
        <f>IFERROR(__xludf.DUMMYFUNCTION("""COMPUTED_VALUE"""),"SUCCESS")</f>
        <v>SUCCESS</v>
      </c>
    </row>
    <row r="207">
      <c r="A207" s="35" t="str">
        <f>IFERROR(__xludf.DUMMYFUNCTION("""COMPUTED_VALUE"""),"PO346001793-1.pdf")</f>
        <v>PO346001793-1.pdf</v>
      </c>
      <c r="B207" s="35" t="str">
        <f>IFERROR(__xludf.DUMMYFUNCTION("""COMPUTED_VALUE"""),"PO3460017-AMB_WELLNESS-20240710.pdf")</f>
        <v>PO3460017-AMB_WELLNESS-20240710.pdf</v>
      </c>
      <c r="C207" s="35" t="str">
        <f>IFERROR(__xludf.DUMMYFUNCTION("""COMPUTED_VALUE"""),"PO3460017")</f>
        <v>PO3460017</v>
      </c>
      <c r="D207" s="35" t="str">
        <f>IFERROR(__xludf.DUMMYFUNCTION("""COMPUTED_VALUE"""),"AMB_WELLNESS")</f>
        <v>AMB_WELLNESS</v>
      </c>
      <c r="E207" s="35">
        <f>IFERROR(__xludf.DUMMYFUNCTION("""COMPUTED_VALUE"""),2.024071E7)</f>
        <v>20240710</v>
      </c>
      <c r="F207" s="35" t="str">
        <f>IFERROR(__xludf.DUMMYFUNCTION("""COMPUTED_VALUE"""),"SUCCESS")</f>
        <v>SUCCESS</v>
      </c>
    </row>
    <row r="208">
      <c r="A208" s="35" t="str">
        <f>IFERROR(__xludf.DUMMYFUNCTION("""COMPUTED_VALUE"""),"POAB670135 Aloe vera extract 100kgs._Agromayal.pdf")</f>
        <v>POAB670135 Aloe vera extract 100kgs._Agromayal.pdf</v>
      </c>
      <c r="B208" s="35" t="str">
        <f>IFERROR(__xludf.DUMMYFUNCTION("""COMPUTED_VALUE"""),"POAB670135-AGROMAYAL-20240101.pdf")</f>
        <v>POAB670135-AGROMAYAL-20240101.pdf</v>
      </c>
      <c r="C208" s="35" t="str">
        <f>IFERROR(__xludf.DUMMYFUNCTION("""COMPUTED_VALUE"""),"POAB670135")</f>
        <v>POAB670135</v>
      </c>
      <c r="D208" s="35" t="str">
        <f>IFERROR(__xludf.DUMMYFUNCTION("""COMPUTED_VALUE"""),"AGROMAYAL")</f>
        <v>AGROMAYAL</v>
      </c>
      <c r="E208" s="35">
        <f>IFERROR(__xludf.DUMMYFUNCTION("""COMPUTED_VALUE"""),2.0240101E7)</f>
        <v>20240101</v>
      </c>
      <c r="F208" s="35" t="str">
        <f>IFERROR(__xludf.DUMMYFUNCTION("""COMPUTED_VALUE"""),"SUCCESS")</f>
        <v>SUCCESS</v>
      </c>
    </row>
    <row r="209">
      <c r="A209" s="35" t="str">
        <f>IFERROR(__xludf.DUMMYFUNCTION("""COMPUTED_VALUE"""),"PO_199_1637_0_US.pdf")</f>
        <v>PO_199_1637_0_US.pdf</v>
      </c>
      <c r="B209" s="35"/>
      <c r="C209" s="35"/>
      <c r="D209" s="35"/>
      <c r="E209" s="35"/>
      <c r="F209" s="35" t="str">
        <f>IFERROR(__xludf.DUMMYFUNCTION("""COMPUTED_VALUE"""),"FAILED")</f>
        <v>FAILED</v>
      </c>
    </row>
    <row r="210">
      <c r="A210" s="35" t="str">
        <f>IFERROR(__xludf.DUMMYFUNCTION("""COMPUTED_VALUE"""),"PO_20241_from_LORAND_LABORATORIES_LLC_12260.pdf")</f>
        <v>PO_20241_from_LORAND_LABORATORIES_LLC_12260.pdf</v>
      </c>
      <c r="B210" s="35"/>
      <c r="C210" s="35"/>
      <c r="D210" s="35"/>
      <c r="E210" s="35"/>
      <c r="F210" s="35" t="str">
        <f>IFERROR(__xludf.DUMMYFUNCTION("""COMPUTED_VALUE"""),"FAILED")</f>
        <v>FAILED</v>
      </c>
    </row>
    <row r="211">
      <c r="A211" s="35" t="str">
        <f>IFERROR(__xludf.DUMMYFUNCTION("""COMPUTED_VALUE"""),"PO_604_11541_0_US.pdf")</f>
        <v>PO_604_11541_0_US.pdf</v>
      </c>
      <c r="B211" s="35"/>
      <c r="C211" s="35"/>
      <c r="D211" s="35"/>
      <c r="E211" s="35"/>
      <c r="F211" s="35" t="str">
        <f>IFERROR(__xludf.DUMMYFUNCTION("""COMPUTED_VALUE"""),"FAILED")</f>
        <v>FAILED</v>
      </c>
    </row>
    <row r="212">
      <c r="A212" s="35" t="str">
        <f>IFERROR(__xludf.DUMMYFUNCTION("""COMPUTED_VALUE"""),"PO_604_12356_0_US.pdf")</f>
        <v>PO_604_12356_0_US.pdf</v>
      </c>
      <c r="B212" s="35"/>
      <c r="C212" s="35"/>
      <c r="D212" s="35"/>
      <c r="E212" s="35"/>
      <c r="F212" s="35" t="str">
        <f>IFERROR(__xludf.DUMMYFUNCTION("""COMPUTED_VALUE"""),"FAILED")</f>
        <v>FAILED</v>
      </c>
    </row>
    <row r="213">
      <c r="A213" s="35" t="str">
        <f>IFERROR(__xludf.DUMMYFUNCTION("""COMPUTED_VALUE"""),"PO_604_12827_0_US.pdf")</f>
        <v>PO_604_12827_0_US.pdf</v>
      </c>
      <c r="B213" s="35"/>
      <c r="C213" s="35"/>
      <c r="D213" s="35"/>
      <c r="E213" s="35"/>
      <c r="F213" s="35" t="str">
        <f>IFERROR(__xludf.DUMMYFUNCTION("""COMPUTED_VALUE"""),"FAILED")</f>
        <v>FAILED</v>
      </c>
    </row>
    <row r="214">
      <c r="A214" s="35" t="str">
        <f>IFERROR(__xludf.DUMMYFUNCTION("""COMPUTED_VALUE"""),"PO_AMW240002CSU.PDF")</f>
        <v>PO_AMW240002CSU.PDF</v>
      </c>
      <c r="B214" s="35" t="str">
        <f>IFERROR(__xludf.DUMMYFUNCTION("""COMPUTED_VALUE"""),"AMW240002CSU-AMB_WELLNESS-20241908.pdf")</f>
        <v>AMW240002CSU-AMB_WELLNESS-20241908.pdf</v>
      </c>
      <c r="C214" s="35" t="str">
        <f>IFERROR(__xludf.DUMMYFUNCTION("""COMPUTED_VALUE"""),"AMW240002CSU")</f>
        <v>AMW240002CSU</v>
      </c>
      <c r="D214" s="35" t="str">
        <f>IFERROR(__xludf.DUMMYFUNCTION("""COMPUTED_VALUE"""),"AMB_WELLNESS")</f>
        <v>AMB_WELLNESS</v>
      </c>
      <c r="E214" s="35">
        <f>IFERROR(__xludf.DUMMYFUNCTION("""COMPUTED_VALUE"""),2.0241908E7)</f>
        <v>20241908</v>
      </c>
      <c r="F214" s="35" t="str">
        <f>IFERROR(__xludf.DUMMYFUNCTION("""COMPUTED_VALUE"""),"SUCCESS")</f>
        <v>SUCCESS</v>
      </c>
    </row>
    <row r="215">
      <c r="A215" s="35" t="str">
        <f>IFERROR(__xludf.DUMMYFUNCTION("""COMPUTED_VALUE"""),"PO_AMW240003CSU.PDF")</f>
        <v>PO_AMW240003CSU.PDF</v>
      </c>
      <c r="B215" s="35" t="str">
        <f>IFERROR(__xludf.DUMMYFUNCTION("""COMPUTED_VALUE"""),"AMW240003CSU-AMB_WELLNESS-20241511.pdf")</f>
        <v>AMW240003CSU-AMB_WELLNESS-20241511.pdf</v>
      </c>
      <c r="C215" s="35" t="str">
        <f>IFERROR(__xludf.DUMMYFUNCTION("""COMPUTED_VALUE"""),"AMW240003CSU")</f>
        <v>AMW240003CSU</v>
      </c>
      <c r="D215" s="35" t="str">
        <f>IFERROR(__xludf.DUMMYFUNCTION("""COMPUTED_VALUE"""),"AMB_WELLNESS")</f>
        <v>AMB_WELLNESS</v>
      </c>
      <c r="E215" s="35">
        <f>IFERROR(__xludf.DUMMYFUNCTION("""COMPUTED_VALUE"""),2.0241511E7)</f>
        <v>20241511</v>
      </c>
      <c r="F215" s="35" t="str">
        <f>IFERROR(__xludf.DUMMYFUNCTION("""COMPUTED_VALUE"""),"SUCCESS")</f>
        <v>SUCCESS</v>
      </c>
    </row>
    <row r="216">
      <c r="A216" s="35" t="str">
        <f>IFERROR(__xludf.DUMMYFUNCTION("""COMPUTED_VALUE"""),"PURCHASE ORDER 059497.pdf")</f>
        <v>PURCHASE ORDER 059497.pdf</v>
      </c>
      <c r="B216" s="35" t="str">
        <f>IFERROR(__xludf.DUMMYFUNCTION("""COMPUTED_VALUE"""),"059497-AMB_WELLNESS-20240508.pdf")</f>
        <v>059497-AMB_WELLNESS-20240508.pdf</v>
      </c>
      <c r="C216" s="35">
        <f>IFERROR(__xludf.DUMMYFUNCTION("""COMPUTED_VALUE"""),59497.0)</f>
        <v>59497</v>
      </c>
      <c r="D216" s="35" t="str">
        <f>IFERROR(__xludf.DUMMYFUNCTION("""COMPUTED_VALUE"""),"AMB_WELLNESS")</f>
        <v>AMB_WELLNESS</v>
      </c>
      <c r="E216" s="35">
        <f>IFERROR(__xludf.DUMMYFUNCTION("""COMPUTED_VALUE"""),2.0240508E7)</f>
        <v>20240508</v>
      </c>
      <c r="F216" s="35" t="str">
        <f>IFERROR(__xludf.DUMMYFUNCTION("""COMPUTED_VALUE"""),"SUCCESS")</f>
        <v>SUCCESS</v>
      </c>
    </row>
    <row r="217">
      <c r="A217" s="35" t="str">
        <f>IFERROR(__xludf.DUMMYFUNCTION("""COMPUTED_VALUE"""),"Pedido_556 AGROMAYAL.pdf")</f>
        <v>Pedido_556 AGROMAYAL.pdf</v>
      </c>
      <c r="B217" s="35" t="str">
        <f>IFERROR(__xludf.DUMMYFUNCTION("""COMPUTED_VALUE"""),"556-AGROMAYAL-20240415.pdf")</f>
        <v>556-AGROMAYAL-20240415.pdf</v>
      </c>
      <c r="C217" s="35">
        <f>IFERROR(__xludf.DUMMYFUNCTION("""COMPUTED_VALUE"""),556.0)</f>
        <v>556</v>
      </c>
      <c r="D217" s="35" t="str">
        <f>IFERROR(__xludf.DUMMYFUNCTION("""COMPUTED_VALUE"""),"AGROMAYAL")</f>
        <v>AGROMAYAL</v>
      </c>
      <c r="E217" s="35">
        <f>IFERROR(__xludf.DUMMYFUNCTION("""COMPUTED_VALUE"""),2.0240415E7)</f>
        <v>20240415</v>
      </c>
      <c r="F217" s="35" t="str">
        <f>IFERROR(__xludf.DUMMYFUNCTION("""COMPUTED_VALUE"""),"SUCCESS")</f>
        <v>SUCCESS</v>
      </c>
    </row>
    <row r="218">
      <c r="A218" s="35" t="str">
        <f>IFERROR(__xludf.DUMMYFUNCTION("""COMPUTED_VALUE"""),"Purchase Order-3240000172-3242500171_1.pdf")</f>
        <v>Purchase Order-3240000172-3242500171_1.pdf</v>
      </c>
      <c r="B218" s="35" t="str">
        <f>IFERROR(__xludf.DUMMYFUNCTION("""COMPUTED_VALUE"""),"3240000172-BARENTZ-20240101.pdf")</f>
        <v>3240000172-BARENTZ-20240101.pdf</v>
      </c>
      <c r="C218" s="35">
        <f>IFERROR(__xludf.DUMMYFUNCTION("""COMPUTED_VALUE"""),3.240000172E9)</f>
        <v>3240000172</v>
      </c>
      <c r="D218" s="35" t="str">
        <f>IFERROR(__xludf.DUMMYFUNCTION("""COMPUTED_VALUE"""),"BARENTZ")</f>
        <v>BARENTZ</v>
      </c>
      <c r="E218" s="35">
        <f>IFERROR(__xludf.DUMMYFUNCTION("""COMPUTED_VALUE"""),2.0240101E7)</f>
        <v>20240101</v>
      </c>
      <c r="F218" s="35" t="str">
        <f>IFERROR(__xludf.DUMMYFUNCTION("""COMPUTED_VALUE"""),"SUCCESS")</f>
        <v>SUCCESS</v>
      </c>
    </row>
    <row r="219">
      <c r="A219" s="35" t="str">
        <f>IFERROR(__xludf.DUMMYFUNCTION("""COMPUTED_VALUE"""),"Purchase order-43258.pdf")</f>
        <v>Purchase order-43258.pdf</v>
      </c>
      <c r="B219" s="35" t="str">
        <f>IFERROR(__xludf.DUMMYFUNCTION("""COMPUTED_VALUE"""),"43258-UNKNOWN-20240101.pdf")</f>
        <v>43258-UNKNOWN-20240101.pdf</v>
      </c>
      <c r="C219" s="35">
        <f>IFERROR(__xludf.DUMMYFUNCTION("""COMPUTED_VALUE"""),43258.0)</f>
        <v>43258</v>
      </c>
      <c r="D219" s="35" t="str">
        <f>IFERROR(__xludf.DUMMYFUNCTION("""COMPUTED_VALUE"""),"UNKNOWN")</f>
        <v>UNKNOWN</v>
      </c>
      <c r="E219" s="35">
        <f>IFERROR(__xludf.DUMMYFUNCTION("""COMPUTED_VALUE"""),2.0240101E7)</f>
        <v>20240101</v>
      </c>
      <c r="F219" s="35" t="str">
        <f>IFERROR(__xludf.DUMMYFUNCTION("""COMPUTED_VALUE"""),"SUCCESS")</f>
        <v>SUCCESS</v>
      </c>
    </row>
    <row r="220">
      <c r="A220" s="35" t="str">
        <f>IFERROR(__xludf.DUMMYFUNCTION("""COMPUTED_VALUE"""),"PurchaseOrder_UK-PO-000671_ID_0415-002726.pdf")</f>
        <v>PurchaseOrder_UK-PO-000671_ID_0415-002726.pdf</v>
      </c>
      <c r="B220" s="35" t="str">
        <f>IFERROR(__xludf.DUMMYFUNCTION("""COMPUTED_VALUE"""),"UK-PO-000671-BARENTZ-20241010.pdf")</f>
        <v>UK-PO-000671-BARENTZ-20241010.pdf</v>
      </c>
      <c r="C220" s="35" t="str">
        <f>IFERROR(__xludf.DUMMYFUNCTION("""COMPUTED_VALUE"""),"UK-PO-000671")</f>
        <v>UK-PO-000671</v>
      </c>
      <c r="D220" s="35" t="str">
        <f>IFERROR(__xludf.DUMMYFUNCTION("""COMPUTED_VALUE"""),"BARENTZ")</f>
        <v>BARENTZ</v>
      </c>
      <c r="E220" s="35">
        <f>IFERROR(__xludf.DUMMYFUNCTION("""COMPUTED_VALUE"""),2.024101E7)</f>
        <v>20241010</v>
      </c>
      <c r="F220" s="35" t="str">
        <f>IFERROR(__xludf.DUMMYFUNCTION("""COMPUTED_VALUE"""),"SUCCESS")</f>
        <v>SUCCESS</v>
      </c>
    </row>
    <row r="221">
      <c r="A221" s="35" t="str">
        <f>IFERROR(__xludf.DUMMYFUNCTION("""COMPUTED_VALUE"""),"PurchaseOrder_UK-PO-000671_ID_0415-002726[1].pdf")</f>
        <v>PurchaseOrder_UK-PO-000671_ID_0415-002726[1].pdf</v>
      </c>
      <c r="B221" s="35" t="str">
        <f>IFERROR(__xludf.DUMMYFUNCTION("""COMPUTED_VALUE"""),"UK-PO-000671-BARENTZ-20241010.pdf")</f>
        <v>UK-PO-000671-BARENTZ-20241010.pdf</v>
      </c>
      <c r="C221" s="35" t="str">
        <f>IFERROR(__xludf.DUMMYFUNCTION("""COMPUTED_VALUE"""),"UK-PO-000671")</f>
        <v>UK-PO-000671</v>
      </c>
      <c r="D221" s="35" t="str">
        <f>IFERROR(__xludf.DUMMYFUNCTION("""COMPUTED_VALUE"""),"BARENTZ")</f>
        <v>BARENTZ</v>
      </c>
      <c r="E221" s="35">
        <f>IFERROR(__xludf.DUMMYFUNCTION("""COMPUTED_VALUE"""),2.024101E7)</f>
        <v>20241010</v>
      </c>
      <c r="F221" s="35" t="str">
        <f>IFERROR(__xludf.DUMMYFUNCTION("""COMPUTED_VALUE"""),"SUCCESS")</f>
        <v>SUCCESS</v>
      </c>
    </row>
    <row r="222">
      <c r="A222" s="35" t="str">
        <f>IFERROR(__xludf.DUMMYFUNCTION("""COMPUTED_VALUE"""),"Supply order AMB Wellness  05.07.2024 - 2499.pdf")</f>
        <v>Supply order AMB Wellness  05.07.2024 - 2499.pdf</v>
      </c>
      <c r="B222" s="35" t="str">
        <f>IFERROR(__xludf.DUMMYFUNCTION("""COMPUTED_VALUE"""),"2499-AMB_WELLNESS-20240705.pdf")</f>
        <v>2499-AMB_WELLNESS-20240705.pdf</v>
      </c>
      <c r="C222" s="35">
        <f>IFERROR(__xludf.DUMMYFUNCTION("""COMPUTED_VALUE"""),2499.0)</f>
        <v>2499</v>
      </c>
      <c r="D222" s="35" t="str">
        <f>IFERROR(__xludf.DUMMYFUNCTION("""COMPUTED_VALUE"""),"AMB_WELLNESS")</f>
        <v>AMB_WELLNESS</v>
      </c>
      <c r="E222" s="35">
        <f>IFERROR(__xludf.DUMMYFUNCTION("""COMPUTED_VALUE"""),2.0240705E7)</f>
        <v>20240705</v>
      </c>
      <c r="F222" s="35" t="str">
        <f>IFERROR(__xludf.DUMMYFUNCTION("""COMPUTED_VALUE"""),"SUCCESS")</f>
        <v>SUCCESS</v>
      </c>
    </row>
    <row r="223">
      <c r="A223" s="35" t="str">
        <f>IFERROR(__xludf.DUMMYFUNCTION("""COMPUTED_VALUE"""),"Supply order AMB Wellness  07.02.2024 - 508.pdf")</f>
        <v>Supply order AMB Wellness  07.02.2024 - 508.pdf</v>
      </c>
      <c r="B223" s="35" t="str">
        <f>IFERROR(__xludf.DUMMYFUNCTION("""COMPUTED_VALUE"""),"508-AMB_WELLNESS-20240207.pdf")</f>
        <v>508-AMB_WELLNESS-20240207.pdf</v>
      </c>
      <c r="C223" s="35">
        <f>IFERROR(__xludf.DUMMYFUNCTION("""COMPUTED_VALUE"""),508.0)</f>
        <v>508</v>
      </c>
      <c r="D223" s="35" t="str">
        <f>IFERROR(__xludf.DUMMYFUNCTION("""COMPUTED_VALUE"""),"AMB_WELLNESS")</f>
        <v>AMB_WELLNESS</v>
      </c>
      <c r="E223" s="35">
        <f>IFERROR(__xludf.DUMMYFUNCTION("""COMPUTED_VALUE"""),2.0240207E7)</f>
        <v>20240207</v>
      </c>
      <c r="F223" s="35" t="str">
        <f>IFERROR(__xludf.DUMMYFUNCTION("""COMPUTED_VALUE"""),"SUCCESS")</f>
        <v>SUCCESS</v>
      </c>
    </row>
    <row r="224">
      <c r="A224" s="35" t="str">
        <f>IFERROR(__xludf.DUMMYFUNCTION("""COMPUTED_VALUE"""),"Supply order AMB Wellness  07.05.2024 - 1666.pdf")</f>
        <v>Supply order AMB Wellness  07.05.2024 - 1666.pdf</v>
      </c>
      <c r="B224" s="35" t="str">
        <f>IFERROR(__xludf.DUMMYFUNCTION("""COMPUTED_VALUE"""),"1666-AMB_WELLNESS-20240507.pdf")</f>
        <v>1666-AMB_WELLNESS-20240507.pdf</v>
      </c>
      <c r="C224" s="35">
        <f>IFERROR(__xludf.DUMMYFUNCTION("""COMPUTED_VALUE"""),1666.0)</f>
        <v>1666</v>
      </c>
      <c r="D224" s="35" t="str">
        <f>IFERROR(__xludf.DUMMYFUNCTION("""COMPUTED_VALUE"""),"AMB_WELLNESS")</f>
        <v>AMB_WELLNESS</v>
      </c>
      <c r="E224" s="35">
        <f>IFERROR(__xludf.DUMMYFUNCTION("""COMPUTED_VALUE"""),2.0240507E7)</f>
        <v>20240507</v>
      </c>
      <c r="F224" s="35" t="str">
        <f>IFERROR(__xludf.DUMMYFUNCTION("""COMPUTED_VALUE"""),"SUCCESS")</f>
        <v>SUCCESS</v>
      </c>
    </row>
    <row r="225">
      <c r="A225" s="35" t="str">
        <f>IFERROR(__xludf.DUMMYFUNCTION("""COMPUTED_VALUE"""),"Supply order AMB Wellness  16.08.2024 - 3151.pdf")</f>
        <v>Supply order AMB Wellness  16.08.2024 - 3151.pdf</v>
      </c>
      <c r="B225" s="35" t="str">
        <f>IFERROR(__xludf.DUMMYFUNCTION("""COMPUTED_VALUE"""),"3151-AMB_WELLNESS-20240816.pdf")</f>
        <v>3151-AMB_WELLNESS-20240816.pdf</v>
      </c>
      <c r="C225" s="35">
        <f>IFERROR(__xludf.DUMMYFUNCTION("""COMPUTED_VALUE"""),3151.0)</f>
        <v>3151</v>
      </c>
      <c r="D225" s="35" t="str">
        <f>IFERROR(__xludf.DUMMYFUNCTION("""COMPUTED_VALUE"""),"AMB_WELLNESS")</f>
        <v>AMB_WELLNESS</v>
      </c>
      <c r="E225" s="35">
        <f>IFERROR(__xludf.DUMMYFUNCTION("""COMPUTED_VALUE"""),2.0240816E7)</f>
        <v>20240816</v>
      </c>
      <c r="F225" s="35" t="str">
        <f>IFERROR(__xludf.DUMMYFUNCTION("""COMPUTED_VALUE"""),"SUCCESS")</f>
        <v>SUCCESS</v>
      </c>
    </row>
    <row r="226">
      <c r="A226" s="35" t="str">
        <f>IFERROR(__xludf.DUMMYFUNCTION("""COMPUTED_VALUE"""),"Supply order AMB Wellness  19.03.2024 - 1039.pdf")</f>
        <v>Supply order AMB Wellness  19.03.2024 - 1039.pdf</v>
      </c>
      <c r="B226" s="35" t="str">
        <f>IFERROR(__xludf.DUMMYFUNCTION("""COMPUTED_VALUE"""),"1039-AMB_WELLNESS-20240319.pdf")</f>
        <v>1039-AMB_WELLNESS-20240319.pdf</v>
      </c>
      <c r="C226" s="35">
        <f>IFERROR(__xludf.DUMMYFUNCTION("""COMPUTED_VALUE"""),1039.0)</f>
        <v>1039</v>
      </c>
      <c r="D226" s="35" t="str">
        <f>IFERROR(__xludf.DUMMYFUNCTION("""COMPUTED_VALUE"""),"AMB_WELLNESS")</f>
        <v>AMB_WELLNESS</v>
      </c>
      <c r="E226" s="35">
        <f>IFERROR(__xludf.DUMMYFUNCTION("""COMPUTED_VALUE"""),2.0240319E7)</f>
        <v>20240319</v>
      </c>
      <c r="F226" s="35" t="str">
        <f>IFERROR(__xludf.DUMMYFUNCTION("""COMPUTED_VALUE"""),"SUCCESS")</f>
        <v>SUCCESS</v>
      </c>
    </row>
    <row r="227">
      <c r="A227" s="35" t="str">
        <f>IFERROR(__xludf.DUMMYFUNCTION("""COMPUTED_VALUE"""),"Supply order AMB Wellness  22.11.2024 - 4202.pdf")</f>
        <v>Supply order AMB Wellness  22.11.2024 - 4202.pdf</v>
      </c>
      <c r="B227" s="35" t="str">
        <f>IFERROR(__xludf.DUMMYFUNCTION("""COMPUTED_VALUE"""),"4202-AMB_WELLNESS-20241122.pdf")</f>
        <v>4202-AMB_WELLNESS-20241122.pdf</v>
      </c>
      <c r="C227" s="35">
        <f>IFERROR(__xludf.DUMMYFUNCTION("""COMPUTED_VALUE"""),4202.0)</f>
        <v>4202</v>
      </c>
      <c r="D227" s="35" t="str">
        <f>IFERROR(__xludf.DUMMYFUNCTION("""COMPUTED_VALUE"""),"AMB_WELLNESS")</f>
        <v>AMB_WELLNESS</v>
      </c>
      <c r="E227" s="35">
        <f>IFERROR(__xludf.DUMMYFUNCTION("""COMPUTED_VALUE"""),2.0241122E7)</f>
        <v>20241122</v>
      </c>
      <c r="F227" s="35" t="str">
        <f>IFERROR(__xludf.DUMMYFUNCTION("""COMPUTED_VALUE"""),"SUCCESS")</f>
        <v>SUCCESS</v>
      </c>
    </row>
    <row r="228">
      <c r="A228" s="35" t="str">
        <f>IFERROR(__xludf.DUMMYFUNCTION("""COMPUTED_VALUE"""),"Supply order AMB Wellness  22.12.2023 - 3624.pdf")</f>
        <v>Supply order AMB Wellness  22.12.2023 - 3624.pdf</v>
      </c>
      <c r="B228" s="35" t="str">
        <f>IFERROR(__xludf.DUMMYFUNCTION("""COMPUTED_VALUE"""),"3624-AMB_WELLNESS-20231222.pdf")</f>
        <v>3624-AMB_WELLNESS-20231222.pdf</v>
      </c>
      <c r="C228" s="35">
        <f>IFERROR(__xludf.DUMMYFUNCTION("""COMPUTED_VALUE"""),3624.0)</f>
        <v>3624</v>
      </c>
      <c r="D228" s="35" t="str">
        <f>IFERROR(__xludf.DUMMYFUNCTION("""COMPUTED_VALUE"""),"AMB_WELLNESS")</f>
        <v>AMB_WELLNESS</v>
      </c>
      <c r="E228" s="35">
        <f>IFERROR(__xludf.DUMMYFUNCTION("""COMPUTED_VALUE"""),2.0231222E7)</f>
        <v>20231222</v>
      </c>
      <c r="F228" s="35" t="str">
        <f>IFERROR(__xludf.DUMMYFUNCTION("""COMPUTED_VALUE"""),"SUCCESS")</f>
        <v>SUCCESS</v>
      </c>
    </row>
    <row r="229">
      <c r="A229" s="35" t="str">
        <f>IFERROR(__xludf.DUMMYFUNCTION("""COMPUTED_VALUE"""),"Supply order AMB Wellness  27.09.2024 - 3640.pdf")</f>
        <v>Supply order AMB Wellness  27.09.2024 - 3640.pdf</v>
      </c>
      <c r="B229" s="35" t="str">
        <f>IFERROR(__xludf.DUMMYFUNCTION("""COMPUTED_VALUE"""),"3640-AMB_WELLNESS-20240927.pdf")</f>
        <v>3640-AMB_WELLNESS-20240927.pdf</v>
      </c>
      <c r="C229" s="35">
        <f>IFERROR(__xludf.DUMMYFUNCTION("""COMPUTED_VALUE"""),3640.0)</f>
        <v>3640</v>
      </c>
      <c r="D229" s="35" t="str">
        <f>IFERROR(__xludf.DUMMYFUNCTION("""COMPUTED_VALUE"""),"AMB_WELLNESS")</f>
        <v>AMB_WELLNESS</v>
      </c>
      <c r="E229" s="35">
        <f>IFERROR(__xludf.DUMMYFUNCTION("""COMPUTED_VALUE"""),2.0240927E7)</f>
        <v>20240927</v>
      </c>
      <c r="F229" s="35" t="str">
        <f>IFERROR(__xludf.DUMMYFUNCTION("""COMPUTED_VALUE"""),"SUCCESS")</f>
        <v>SUCCESS</v>
      </c>
    </row>
    <row r="230">
      <c r="A230" s="35" t="str">
        <f>IFERROR(__xludf.DUMMYFUNCTION("""COMPUTED_VALUE"""),"YD240401001.pdf")</f>
        <v>YD240401001.pdf</v>
      </c>
      <c r="B230" s="35" t="str">
        <f>IFERROR(__xludf.DUMMYFUNCTION("""COMPUTED_VALUE"""),"YD240401001-UNKNOWN-20240101.pdf")</f>
        <v>YD240401001-UNKNOWN-20240101.pdf</v>
      </c>
      <c r="C230" s="35" t="str">
        <f>IFERROR(__xludf.DUMMYFUNCTION("""COMPUTED_VALUE"""),"YD240401001")</f>
        <v>YD240401001</v>
      </c>
      <c r="D230" s="35" t="str">
        <f>IFERROR(__xludf.DUMMYFUNCTION("""COMPUTED_VALUE"""),"UNKNOWN")</f>
        <v>UNKNOWN</v>
      </c>
      <c r="E230" s="35">
        <f>IFERROR(__xludf.DUMMYFUNCTION("""COMPUTED_VALUE"""),2.0240101E7)</f>
        <v>20240101</v>
      </c>
      <c r="F230" s="35" t="str">
        <f>IFERROR(__xludf.DUMMYFUNCTION("""COMPUTED_VALUE"""),"SUCCESS")</f>
        <v>SUCCESS</v>
      </c>
    </row>
    <row r="231">
      <c r="A231" s="35" t="str">
        <f>IFERROR(__xludf.DUMMYFUNCTION("""COMPUTED_VALUE"""),"_PurchPurchaseOrder UK-PO-000396.pdf")</f>
        <v>_PurchPurchaseOrder UK-PO-000396.pdf</v>
      </c>
      <c r="B231" s="35" t="str">
        <f>IFERROR(__xludf.DUMMYFUNCTION("""COMPUTED_VALUE"""),"UK-PO-000396-BARENTZ-20240823.pdf")</f>
        <v>UK-PO-000396-BARENTZ-20240823.pdf</v>
      </c>
      <c r="C231" s="35" t="str">
        <f>IFERROR(__xludf.DUMMYFUNCTION("""COMPUTED_VALUE"""),"UK-PO-000396")</f>
        <v>UK-PO-000396</v>
      </c>
      <c r="D231" s="35" t="str">
        <f>IFERROR(__xludf.DUMMYFUNCTION("""COMPUTED_VALUE"""),"BARENTZ")</f>
        <v>BARENTZ</v>
      </c>
      <c r="E231" s="35">
        <f>IFERROR(__xludf.DUMMYFUNCTION("""COMPUTED_VALUE"""),2.0240823E7)</f>
        <v>20240823</v>
      </c>
      <c r="F231" s="35" t="str">
        <f>IFERROR(__xludf.DUMMYFUNCTION("""COMPUTED_VALUE"""),"SUCCESS")</f>
        <v>SUCCESS</v>
      </c>
    </row>
    <row r="232">
      <c r="A232" s="35"/>
      <c r="B232" s="35"/>
      <c r="C232" s="35"/>
      <c r="D232" s="35"/>
      <c r="E232" s="35"/>
      <c r="F232" s="35"/>
    </row>
    <row r="233">
      <c r="A233" s="35"/>
      <c r="B233" s="35"/>
      <c r="C233" s="35"/>
      <c r="D233" s="35"/>
      <c r="E233" s="35"/>
      <c r="F233" s="35"/>
    </row>
    <row r="234">
      <c r="A234" s="35"/>
      <c r="B234" s="35"/>
      <c r="C234" s="35"/>
      <c r="D234" s="35"/>
      <c r="E234" s="35"/>
      <c r="F234" s="35"/>
    </row>
    <row r="235">
      <c r="A235" s="35"/>
      <c r="B235" s="35"/>
      <c r="C235" s="35"/>
      <c r="D235" s="35"/>
      <c r="E235" s="35"/>
      <c r="F235" s="35"/>
    </row>
    <row r="236">
      <c r="A236" s="35"/>
      <c r="B236" s="35"/>
      <c r="C236" s="35"/>
      <c r="D236" s="35"/>
      <c r="E236" s="35"/>
      <c r="F236" s="35"/>
    </row>
    <row r="237">
      <c r="A237" s="35"/>
      <c r="B237" s="35"/>
      <c r="C237" s="35"/>
      <c r="D237" s="35"/>
      <c r="E237" s="35"/>
      <c r="F237" s="35"/>
    </row>
    <row r="238">
      <c r="A238" s="35"/>
      <c r="B238" s="35"/>
      <c r="C238" s="35"/>
      <c r="D238" s="35"/>
      <c r="E238" s="35"/>
      <c r="F238" s="35"/>
    </row>
    <row r="239">
      <c r="A239" s="35"/>
      <c r="B239" s="35"/>
      <c r="C239" s="35"/>
      <c r="D239" s="35"/>
      <c r="E239" s="35"/>
      <c r="F239" s="35"/>
    </row>
    <row r="240">
      <c r="A240" s="35"/>
      <c r="B240" s="35"/>
      <c r="C240" s="35"/>
      <c r="D240" s="35"/>
      <c r="E240" s="35"/>
      <c r="F240" s="35"/>
    </row>
    <row r="241">
      <c r="A241" s="35"/>
      <c r="B241" s="35"/>
      <c r="C241" s="35"/>
      <c r="D241" s="35"/>
      <c r="E241" s="35"/>
      <c r="F241" s="35"/>
    </row>
    <row r="242">
      <c r="A242" s="35"/>
      <c r="B242" s="35"/>
      <c r="C242" s="35"/>
      <c r="D242" s="35"/>
      <c r="E242" s="35"/>
      <c r="F242" s="35"/>
    </row>
    <row r="243">
      <c r="A243" s="35"/>
      <c r="B243" s="35"/>
      <c r="C243" s="35"/>
      <c r="D243" s="35"/>
      <c r="E243" s="35"/>
      <c r="F243" s="35"/>
    </row>
    <row r="244">
      <c r="A244" s="35"/>
      <c r="B244" s="35"/>
      <c r="C244" s="35"/>
      <c r="D244" s="35"/>
      <c r="E244" s="35"/>
      <c r="F244" s="35"/>
    </row>
    <row r="245">
      <c r="A245" s="35"/>
      <c r="B245" s="35"/>
      <c r="C245" s="35"/>
      <c r="D245" s="35"/>
      <c r="E245" s="35"/>
      <c r="F245" s="35"/>
    </row>
    <row r="246">
      <c r="A246" s="35"/>
      <c r="B246" s="35"/>
      <c r="C246" s="35"/>
      <c r="D246" s="35"/>
      <c r="E246" s="35"/>
      <c r="F246" s="35"/>
    </row>
    <row r="247">
      <c r="A247" s="35"/>
      <c r="B247" s="35"/>
      <c r="C247" s="35"/>
      <c r="D247" s="35"/>
      <c r="E247" s="35"/>
      <c r="F247" s="35"/>
    </row>
    <row r="248">
      <c r="A248" s="35"/>
      <c r="B248" s="35"/>
      <c r="C248" s="35"/>
      <c r="D248" s="35"/>
      <c r="E248" s="35"/>
      <c r="F248" s="35"/>
    </row>
    <row r="249">
      <c r="A249" s="35"/>
      <c r="B249" s="35"/>
      <c r="C249" s="35"/>
      <c r="D249" s="35"/>
      <c r="E249" s="35"/>
      <c r="F249" s="35"/>
    </row>
    <row r="250">
      <c r="A250" s="35"/>
      <c r="B250" s="35"/>
      <c r="C250" s="35"/>
      <c r="D250" s="35"/>
      <c r="E250" s="35"/>
      <c r="F250" s="35"/>
    </row>
    <row r="251">
      <c r="A251" s="35"/>
      <c r="B251" s="35"/>
      <c r="C251" s="35"/>
      <c r="D251" s="35"/>
      <c r="E251" s="35"/>
      <c r="F251" s="35"/>
    </row>
    <row r="252">
      <c r="A252" s="35"/>
      <c r="B252" s="35"/>
      <c r="C252" s="35"/>
      <c r="D252" s="35"/>
      <c r="E252" s="35"/>
      <c r="F252" s="35"/>
    </row>
    <row r="253">
      <c r="A253" s="35"/>
      <c r="B253" s="35"/>
      <c r="C253" s="35"/>
      <c r="D253" s="35"/>
      <c r="E253" s="35"/>
      <c r="F253" s="35"/>
    </row>
    <row r="254">
      <c r="A254" s="35"/>
      <c r="B254" s="35"/>
      <c r="C254" s="35"/>
      <c r="D254" s="35"/>
      <c r="E254" s="35"/>
      <c r="F254" s="35"/>
    </row>
    <row r="255">
      <c r="A255" s="35"/>
      <c r="B255" s="35"/>
      <c r="C255" s="35"/>
      <c r="D255" s="35"/>
      <c r="E255" s="35"/>
      <c r="F255" s="35"/>
    </row>
    <row r="256">
      <c r="A256" s="35"/>
      <c r="B256" s="35"/>
      <c r="C256" s="35"/>
      <c r="D256" s="35"/>
      <c r="E256" s="35"/>
      <c r="F256" s="35"/>
    </row>
    <row r="257">
      <c r="A257" s="35"/>
      <c r="B257" s="35"/>
      <c r="C257" s="35"/>
      <c r="D257" s="35"/>
      <c r="E257" s="35"/>
      <c r="F257" s="35"/>
    </row>
    <row r="258">
      <c r="A258" s="35"/>
      <c r="B258" s="35"/>
      <c r="C258" s="35"/>
      <c r="D258" s="35"/>
      <c r="E258" s="35"/>
      <c r="F258" s="35"/>
    </row>
    <row r="259">
      <c r="A259" s="35"/>
      <c r="B259" s="35"/>
      <c r="C259" s="35"/>
      <c r="D259" s="35"/>
      <c r="E259" s="35"/>
      <c r="F259" s="35"/>
    </row>
    <row r="260">
      <c r="A260" s="35"/>
      <c r="B260" s="35"/>
      <c r="C260" s="35"/>
      <c r="D260" s="35"/>
      <c r="E260" s="35"/>
      <c r="F260" s="35"/>
    </row>
    <row r="261">
      <c r="A261" s="35"/>
      <c r="B261" s="35"/>
      <c r="C261" s="35"/>
      <c r="D261" s="35"/>
      <c r="E261" s="35"/>
      <c r="F261" s="35"/>
    </row>
    <row r="262">
      <c r="A262" s="35"/>
      <c r="B262" s="35"/>
      <c r="C262" s="35"/>
      <c r="D262" s="35"/>
      <c r="E262" s="35"/>
      <c r="F262" s="35"/>
    </row>
    <row r="263">
      <c r="A263" s="35"/>
      <c r="B263" s="35"/>
      <c r="C263" s="35"/>
      <c r="D263" s="35"/>
      <c r="E263" s="35"/>
      <c r="F263" s="35"/>
    </row>
    <row r="264">
      <c r="A264" s="35"/>
      <c r="B264" s="35"/>
      <c r="C264" s="35"/>
      <c r="D264" s="35"/>
      <c r="E264" s="35"/>
      <c r="F264" s="35"/>
    </row>
    <row r="265">
      <c r="A265" s="35"/>
      <c r="B265" s="35"/>
      <c r="C265" s="35"/>
      <c r="D265" s="35"/>
      <c r="E265" s="35"/>
      <c r="F265" s="35"/>
    </row>
    <row r="266">
      <c r="A266" s="35"/>
      <c r="B266" s="35"/>
      <c r="C266" s="35"/>
      <c r="D266" s="35"/>
      <c r="E266" s="35"/>
      <c r="F266" s="35"/>
    </row>
    <row r="267">
      <c r="A267" s="35"/>
      <c r="B267" s="35"/>
      <c r="C267" s="35"/>
      <c r="D267" s="35"/>
      <c r="E267" s="35"/>
      <c r="F267" s="35"/>
    </row>
    <row r="268">
      <c r="A268" s="35"/>
      <c r="B268" s="35"/>
      <c r="C268" s="35"/>
      <c r="D268" s="35"/>
      <c r="E268" s="35"/>
      <c r="F268" s="35"/>
    </row>
    <row r="269">
      <c r="A269" s="35"/>
      <c r="B269" s="35"/>
      <c r="C269" s="35"/>
      <c r="D269" s="35"/>
      <c r="E269" s="35"/>
      <c r="F269" s="35"/>
    </row>
    <row r="270">
      <c r="A270" s="35"/>
      <c r="B270" s="35"/>
      <c r="C270" s="35"/>
      <c r="D270" s="35"/>
      <c r="E270" s="35"/>
      <c r="F270" s="35"/>
    </row>
    <row r="271">
      <c r="A271" s="35"/>
      <c r="B271" s="35"/>
      <c r="C271" s="35"/>
      <c r="D271" s="35"/>
      <c r="E271" s="35"/>
      <c r="F271" s="35"/>
    </row>
    <row r="272">
      <c r="A272" s="35"/>
      <c r="B272" s="35"/>
      <c r="C272" s="35"/>
      <c r="D272" s="35"/>
      <c r="E272" s="35"/>
      <c r="F272" s="35"/>
    </row>
    <row r="273">
      <c r="A273" s="35"/>
      <c r="B273" s="35"/>
      <c r="C273" s="35"/>
      <c r="D273" s="35"/>
      <c r="E273" s="35"/>
      <c r="F273" s="35"/>
    </row>
    <row r="274">
      <c r="A274" s="35"/>
      <c r="B274" s="35"/>
      <c r="C274" s="35"/>
      <c r="D274" s="35"/>
      <c r="E274" s="35"/>
      <c r="F274" s="35"/>
    </row>
    <row r="275">
      <c r="A275" s="35"/>
      <c r="B275" s="35"/>
      <c r="C275" s="35"/>
      <c r="D275" s="35"/>
      <c r="E275" s="35"/>
      <c r="F275" s="35"/>
    </row>
    <row r="276">
      <c r="A276" s="35"/>
      <c r="B276" s="35"/>
      <c r="C276" s="35"/>
      <c r="D276" s="35"/>
      <c r="E276" s="35"/>
      <c r="F276" s="35"/>
    </row>
    <row r="277">
      <c r="A277" s="35"/>
      <c r="B277" s="35"/>
      <c r="C277" s="35"/>
      <c r="D277" s="35"/>
      <c r="E277" s="35"/>
      <c r="F277" s="35"/>
    </row>
    <row r="278">
      <c r="A278" s="35"/>
      <c r="B278" s="35"/>
      <c r="C278" s="35"/>
      <c r="D278" s="35"/>
      <c r="E278" s="35"/>
      <c r="F278" s="35"/>
    </row>
    <row r="279">
      <c r="A279" s="35"/>
      <c r="B279" s="35"/>
      <c r="C279" s="35"/>
      <c r="D279" s="35"/>
      <c r="E279" s="35"/>
      <c r="F279" s="35"/>
    </row>
    <row r="280">
      <c r="A280" s="35"/>
      <c r="B280" s="35"/>
      <c r="C280" s="35"/>
      <c r="D280" s="35"/>
      <c r="E280" s="35"/>
      <c r="F280" s="35"/>
    </row>
    <row r="281">
      <c r="A281" s="35"/>
      <c r="B281" s="35"/>
      <c r="C281" s="35"/>
      <c r="D281" s="35"/>
      <c r="E281" s="35"/>
      <c r="F281" s="35"/>
    </row>
    <row r="282">
      <c r="A282" s="35"/>
      <c r="B282" s="35"/>
      <c r="C282" s="35"/>
      <c r="D282" s="35"/>
      <c r="E282" s="35"/>
      <c r="F282" s="35"/>
    </row>
    <row r="283">
      <c r="A283" s="35"/>
      <c r="B283" s="35"/>
      <c r="C283" s="35"/>
      <c r="D283" s="35"/>
      <c r="E283" s="35"/>
      <c r="F283" s="35"/>
    </row>
    <row r="284">
      <c r="A284" s="35"/>
      <c r="B284" s="35"/>
      <c r="C284" s="35"/>
      <c r="D284" s="35"/>
      <c r="E284" s="35"/>
      <c r="F284" s="35"/>
    </row>
    <row r="285">
      <c r="A285" s="35"/>
      <c r="B285" s="35"/>
      <c r="C285" s="35"/>
      <c r="D285" s="35"/>
      <c r="E285" s="35"/>
      <c r="F285" s="35"/>
    </row>
    <row r="286">
      <c r="A286" s="35"/>
      <c r="B286" s="35"/>
      <c r="C286" s="35"/>
      <c r="D286" s="35"/>
      <c r="E286" s="35"/>
      <c r="F286" s="35"/>
    </row>
    <row r="287">
      <c r="A287" s="35"/>
      <c r="B287" s="35"/>
      <c r="C287" s="35"/>
      <c r="D287" s="35"/>
      <c r="E287" s="35"/>
      <c r="F287" s="35"/>
    </row>
    <row r="288">
      <c r="A288" s="35"/>
      <c r="B288" s="35"/>
      <c r="C288" s="35"/>
      <c r="D288" s="35"/>
      <c r="E288" s="35"/>
      <c r="F288" s="35"/>
    </row>
    <row r="289">
      <c r="A289" s="35"/>
      <c r="B289" s="35"/>
      <c r="C289" s="35"/>
      <c r="D289" s="35"/>
      <c r="E289" s="35"/>
      <c r="F289" s="35"/>
    </row>
    <row r="290">
      <c r="A290" s="35"/>
      <c r="B290" s="35"/>
      <c r="C290" s="35"/>
      <c r="D290" s="35"/>
      <c r="E290" s="35"/>
      <c r="F290" s="35"/>
    </row>
    <row r="291">
      <c r="A291" s="35"/>
      <c r="B291" s="35"/>
      <c r="C291" s="35"/>
      <c r="D291" s="35"/>
      <c r="E291" s="35"/>
      <c r="F291" s="35"/>
    </row>
    <row r="292">
      <c r="A292" s="35"/>
      <c r="B292" s="35"/>
      <c r="C292" s="35"/>
      <c r="D292" s="35"/>
      <c r="E292" s="35"/>
      <c r="F292" s="35"/>
    </row>
    <row r="293">
      <c r="A293" s="35"/>
      <c r="B293" s="35"/>
      <c r="C293" s="35"/>
      <c r="D293" s="35"/>
      <c r="E293" s="35"/>
      <c r="F293" s="35"/>
    </row>
    <row r="294">
      <c r="A294" s="35"/>
      <c r="B294" s="35"/>
      <c r="C294" s="35"/>
      <c r="D294" s="35"/>
      <c r="E294" s="35"/>
      <c r="F294" s="35"/>
    </row>
    <row r="295">
      <c r="A295" s="35"/>
      <c r="B295" s="35"/>
      <c r="C295" s="35"/>
      <c r="D295" s="35"/>
      <c r="E295" s="35"/>
      <c r="F295" s="35"/>
    </row>
    <row r="296">
      <c r="A296" s="35"/>
      <c r="B296" s="35"/>
      <c r="C296" s="35"/>
      <c r="D296" s="35"/>
      <c r="E296" s="35"/>
      <c r="F296" s="35"/>
    </row>
    <row r="297">
      <c r="A297" s="35"/>
      <c r="B297" s="35"/>
      <c r="C297" s="35"/>
      <c r="D297" s="35"/>
      <c r="E297" s="35"/>
      <c r="F297" s="35"/>
    </row>
    <row r="298">
      <c r="A298" s="35"/>
      <c r="B298" s="35"/>
      <c r="C298" s="35"/>
      <c r="D298" s="35"/>
      <c r="E298" s="35"/>
      <c r="F298" s="35"/>
    </row>
    <row r="299">
      <c r="A299" s="35"/>
      <c r="B299" s="35"/>
      <c r="C299" s="35"/>
      <c r="D299" s="35"/>
      <c r="E299" s="35"/>
      <c r="F299" s="35"/>
    </row>
    <row r="300">
      <c r="A300" s="35"/>
      <c r="B300" s="35"/>
      <c r="C300" s="35"/>
      <c r="D300" s="35"/>
      <c r="E300" s="35"/>
      <c r="F300" s="35"/>
    </row>
    <row r="301">
      <c r="A301" s="35"/>
      <c r="B301" s="35"/>
      <c r="C301" s="35"/>
      <c r="D301" s="35"/>
      <c r="E301" s="35"/>
      <c r="F301" s="35"/>
    </row>
    <row r="302">
      <c r="A302" s="35"/>
      <c r="B302" s="35"/>
      <c r="C302" s="35"/>
      <c r="D302" s="35"/>
      <c r="E302" s="35"/>
      <c r="F302" s="35"/>
    </row>
    <row r="303">
      <c r="A303" s="35"/>
      <c r="B303" s="35"/>
      <c r="C303" s="35"/>
      <c r="D303" s="35"/>
      <c r="E303" s="35"/>
      <c r="F303" s="35"/>
    </row>
    <row r="304">
      <c r="A304" s="35"/>
      <c r="B304" s="35"/>
      <c r="C304" s="35"/>
      <c r="D304" s="35"/>
      <c r="E304" s="35"/>
      <c r="F304" s="35"/>
    </row>
    <row r="305">
      <c r="A305" s="35"/>
      <c r="B305" s="35"/>
      <c r="C305" s="35"/>
      <c r="D305" s="35"/>
      <c r="E305" s="35"/>
      <c r="F305" s="35"/>
    </row>
    <row r="306">
      <c r="A306" s="35"/>
      <c r="B306" s="35"/>
      <c r="C306" s="35"/>
      <c r="D306" s="35"/>
      <c r="E306" s="35"/>
      <c r="F306" s="35"/>
    </row>
    <row r="307">
      <c r="A307" s="35"/>
      <c r="B307" s="35"/>
      <c r="C307" s="35"/>
      <c r="D307" s="35"/>
      <c r="E307" s="35"/>
      <c r="F307" s="35"/>
    </row>
    <row r="308">
      <c r="A308" s="35"/>
      <c r="B308" s="35"/>
      <c r="C308" s="35"/>
      <c r="D308" s="35"/>
      <c r="E308" s="35"/>
      <c r="F308" s="35"/>
    </row>
    <row r="309">
      <c r="A309" s="35"/>
      <c r="B309" s="35"/>
      <c r="C309" s="35"/>
      <c r="D309" s="35"/>
      <c r="E309" s="35"/>
      <c r="F309" s="35"/>
    </row>
    <row r="310">
      <c r="A310" s="35"/>
      <c r="B310" s="35"/>
      <c r="C310" s="35"/>
      <c r="D310" s="35"/>
      <c r="E310" s="35"/>
      <c r="F310" s="35"/>
    </row>
    <row r="311">
      <c r="A311" s="35"/>
      <c r="B311" s="35"/>
      <c r="C311" s="35"/>
      <c r="D311" s="35"/>
      <c r="E311" s="35"/>
      <c r="F311" s="35"/>
    </row>
    <row r="312">
      <c r="A312" s="35"/>
      <c r="B312" s="35"/>
      <c r="C312" s="35"/>
      <c r="D312" s="35"/>
      <c r="E312" s="35"/>
      <c r="F312" s="35"/>
    </row>
    <row r="313">
      <c r="A313" s="35"/>
      <c r="B313" s="35"/>
      <c r="C313" s="35"/>
      <c r="D313" s="35"/>
      <c r="E313" s="35"/>
      <c r="F313" s="35"/>
    </row>
    <row r="314">
      <c r="A314" s="35"/>
      <c r="B314" s="35"/>
      <c r="C314" s="35"/>
      <c r="D314" s="35"/>
      <c r="E314" s="35"/>
      <c r="F314" s="35"/>
    </row>
    <row r="315">
      <c r="A315" s="35"/>
      <c r="B315" s="35"/>
      <c r="C315" s="35"/>
      <c r="D315" s="35"/>
      <c r="E315" s="35"/>
      <c r="F315" s="35"/>
    </row>
    <row r="316">
      <c r="A316" s="35"/>
      <c r="B316" s="35"/>
      <c r="C316" s="35"/>
      <c r="D316" s="35"/>
      <c r="E316" s="35"/>
      <c r="F316" s="35"/>
    </row>
    <row r="317">
      <c r="A317" s="35"/>
      <c r="B317" s="35"/>
      <c r="C317" s="35"/>
      <c r="D317" s="35"/>
      <c r="E317" s="35"/>
      <c r="F317" s="35"/>
    </row>
    <row r="318">
      <c r="A318" s="35"/>
      <c r="B318" s="35"/>
      <c r="C318" s="35"/>
      <c r="D318" s="35"/>
      <c r="E318" s="35"/>
      <c r="F318" s="35"/>
    </row>
    <row r="319">
      <c r="A319" s="35"/>
      <c r="B319" s="35"/>
      <c r="C319" s="35"/>
      <c r="D319" s="35"/>
      <c r="E319" s="35"/>
      <c r="F319" s="35"/>
    </row>
    <row r="320">
      <c r="A320" s="35"/>
      <c r="B320" s="35"/>
      <c r="C320" s="35"/>
      <c r="D320" s="35"/>
      <c r="E320" s="35"/>
      <c r="F320" s="35"/>
    </row>
    <row r="321">
      <c r="A321" s="35"/>
      <c r="B321" s="35"/>
      <c r="C321" s="35"/>
      <c r="D321" s="35"/>
      <c r="E321" s="35"/>
      <c r="F321" s="35"/>
    </row>
    <row r="322">
      <c r="A322" s="35"/>
      <c r="B322" s="35"/>
      <c r="C322" s="35"/>
      <c r="D322" s="35"/>
      <c r="E322" s="35"/>
      <c r="F322" s="35"/>
    </row>
    <row r="323">
      <c r="A323" s="35"/>
      <c r="B323" s="35"/>
      <c r="C323" s="35"/>
      <c r="D323" s="35"/>
      <c r="E323" s="35"/>
      <c r="F323" s="35"/>
    </row>
    <row r="324">
      <c r="A324" s="35"/>
      <c r="B324" s="35"/>
      <c r="C324" s="35"/>
      <c r="D324" s="35"/>
      <c r="E324" s="35"/>
      <c r="F324" s="35"/>
    </row>
    <row r="325">
      <c r="A325" s="35"/>
      <c r="B325" s="35"/>
      <c r="C325" s="35"/>
      <c r="D325" s="35"/>
      <c r="E325" s="35"/>
      <c r="F325" s="35"/>
    </row>
    <row r="326">
      <c r="A326" s="35"/>
      <c r="B326" s="35"/>
      <c r="C326" s="35"/>
      <c r="D326" s="35"/>
      <c r="E326" s="35"/>
      <c r="F326" s="35"/>
    </row>
    <row r="327">
      <c r="A327" s="35"/>
      <c r="B327" s="35"/>
      <c r="C327" s="35"/>
      <c r="D327" s="35"/>
      <c r="E327" s="35"/>
      <c r="F327" s="35"/>
    </row>
    <row r="328">
      <c r="A328" s="35"/>
      <c r="B328" s="35"/>
      <c r="C328" s="35"/>
      <c r="D328" s="35"/>
      <c r="E328" s="35"/>
      <c r="F328" s="35"/>
    </row>
    <row r="329">
      <c r="A329" s="35"/>
      <c r="B329" s="35"/>
      <c r="C329" s="35"/>
      <c r="D329" s="35"/>
      <c r="E329" s="35"/>
      <c r="F329" s="35"/>
    </row>
    <row r="330">
      <c r="A330" s="35"/>
      <c r="B330" s="35"/>
      <c r="C330" s="35"/>
      <c r="D330" s="35"/>
      <c r="E330" s="35"/>
      <c r="F330" s="35"/>
    </row>
    <row r="331">
      <c r="A331" s="35"/>
      <c r="B331" s="35"/>
      <c r="C331" s="35"/>
      <c r="D331" s="35"/>
      <c r="E331" s="35"/>
      <c r="F331" s="35"/>
    </row>
    <row r="332">
      <c r="A332" s="35"/>
      <c r="B332" s="35"/>
      <c r="C332" s="35"/>
      <c r="D332" s="35"/>
      <c r="E332" s="35"/>
      <c r="F332" s="35"/>
    </row>
    <row r="333">
      <c r="A333" s="35"/>
      <c r="B333" s="35"/>
      <c r="C333" s="35"/>
      <c r="D333" s="35"/>
      <c r="E333" s="35"/>
      <c r="F333" s="35"/>
    </row>
    <row r="334">
      <c r="A334" s="35"/>
      <c r="B334" s="35"/>
      <c r="C334" s="35"/>
      <c r="D334" s="35"/>
      <c r="E334" s="35"/>
      <c r="F334" s="35"/>
    </row>
    <row r="335">
      <c r="A335" s="35"/>
      <c r="B335" s="35"/>
      <c r="C335" s="35"/>
      <c r="D335" s="35"/>
      <c r="E335" s="35"/>
      <c r="F335" s="35"/>
    </row>
    <row r="336">
      <c r="A336" s="35"/>
      <c r="B336" s="35"/>
      <c r="C336" s="35"/>
      <c r="D336" s="35"/>
      <c r="E336" s="35"/>
      <c r="F336" s="35"/>
    </row>
    <row r="337">
      <c r="A337" s="35"/>
      <c r="B337" s="35"/>
      <c r="C337" s="35"/>
      <c r="D337" s="35"/>
      <c r="E337" s="35"/>
      <c r="F337" s="35"/>
    </row>
    <row r="338">
      <c r="A338" s="35"/>
      <c r="B338" s="35"/>
      <c r="C338" s="35"/>
      <c r="D338" s="35"/>
      <c r="E338" s="35"/>
      <c r="F338" s="35"/>
    </row>
    <row r="339">
      <c r="A339" s="35"/>
      <c r="B339" s="35"/>
      <c r="C339" s="35"/>
      <c r="D339" s="35"/>
      <c r="E339" s="35"/>
      <c r="F339" s="35"/>
    </row>
    <row r="340">
      <c r="A340" s="35"/>
      <c r="B340" s="35"/>
      <c r="C340" s="35"/>
      <c r="D340" s="35"/>
      <c r="E340" s="35"/>
      <c r="F340" s="35"/>
    </row>
    <row r="341">
      <c r="A341" s="35"/>
      <c r="B341" s="35"/>
      <c r="C341" s="35"/>
      <c r="D341" s="35"/>
      <c r="E341" s="35"/>
      <c r="F341" s="35"/>
    </row>
    <row r="342">
      <c r="A342" s="35"/>
      <c r="B342" s="35"/>
      <c r="C342" s="35"/>
      <c r="D342" s="35"/>
      <c r="E342" s="35"/>
      <c r="F342" s="35"/>
    </row>
    <row r="343">
      <c r="A343" s="35"/>
      <c r="B343" s="35"/>
      <c r="C343" s="35"/>
      <c r="D343" s="35"/>
      <c r="E343" s="35"/>
      <c r="F343" s="35"/>
    </row>
    <row r="344">
      <c r="A344" s="35"/>
      <c r="B344" s="35"/>
      <c r="C344" s="35"/>
      <c r="D344" s="35"/>
      <c r="E344" s="35"/>
      <c r="F344" s="35"/>
    </row>
    <row r="345">
      <c r="A345" s="35"/>
      <c r="B345" s="35"/>
      <c r="C345" s="35"/>
      <c r="D345" s="35"/>
      <c r="E345" s="35"/>
      <c r="F345" s="35"/>
    </row>
    <row r="346">
      <c r="A346" s="35"/>
      <c r="B346" s="35"/>
      <c r="C346" s="35"/>
      <c r="D346" s="35"/>
      <c r="E346" s="35"/>
      <c r="F346" s="35"/>
    </row>
    <row r="347">
      <c r="A347" s="35"/>
      <c r="B347" s="35"/>
      <c r="C347" s="35"/>
      <c r="D347" s="35"/>
      <c r="E347" s="35"/>
      <c r="F347" s="35"/>
    </row>
    <row r="348">
      <c r="A348" s="35"/>
      <c r="B348" s="35"/>
      <c r="C348" s="35"/>
      <c r="D348" s="35"/>
      <c r="E348" s="35"/>
      <c r="F348" s="35"/>
    </row>
    <row r="349">
      <c r="A349" s="35"/>
      <c r="B349" s="35"/>
      <c r="C349" s="35"/>
      <c r="D349" s="35"/>
      <c r="E349" s="35"/>
      <c r="F349" s="35"/>
    </row>
    <row r="350">
      <c r="A350" s="35"/>
      <c r="B350" s="35"/>
      <c r="C350" s="35"/>
      <c r="D350" s="35"/>
      <c r="E350" s="35"/>
      <c r="F350" s="35"/>
    </row>
    <row r="351">
      <c r="A351" s="35"/>
      <c r="B351" s="35"/>
      <c r="C351" s="35"/>
      <c r="D351" s="35"/>
      <c r="E351" s="35"/>
      <c r="F351" s="35"/>
    </row>
    <row r="352">
      <c r="A352" s="35"/>
      <c r="B352" s="35"/>
      <c r="C352" s="35"/>
      <c r="D352" s="35"/>
      <c r="E352" s="35"/>
      <c r="F352" s="35"/>
    </row>
    <row r="353">
      <c r="A353" s="35"/>
      <c r="B353" s="35"/>
      <c r="C353" s="35"/>
      <c r="D353" s="35"/>
      <c r="E353" s="35"/>
      <c r="F353" s="35"/>
    </row>
    <row r="354">
      <c r="A354" s="35"/>
      <c r="B354" s="35"/>
      <c r="C354" s="35"/>
      <c r="D354" s="35"/>
      <c r="E354" s="35"/>
      <c r="F354" s="35"/>
    </row>
    <row r="355">
      <c r="A355" s="35"/>
      <c r="B355" s="35"/>
      <c r="C355" s="35"/>
      <c r="D355" s="35"/>
      <c r="E355" s="35"/>
      <c r="F355" s="35"/>
    </row>
    <row r="356">
      <c r="A356" s="35"/>
      <c r="B356" s="35"/>
      <c r="C356" s="35"/>
      <c r="D356" s="35"/>
      <c r="E356" s="35"/>
      <c r="F356" s="35"/>
    </row>
    <row r="357">
      <c r="A357" s="35"/>
      <c r="B357" s="35"/>
      <c r="C357" s="35"/>
      <c r="D357" s="35"/>
      <c r="E357" s="35"/>
      <c r="F357" s="35"/>
    </row>
    <row r="358">
      <c r="A358" s="35"/>
      <c r="B358" s="35"/>
      <c r="C358" s="35"/>
      <c r="D358" s="35"/>
      <c r="E358" s="35"/>
      <c r="F358" s="35"/>
    </row>
    <row r="359">
      <c r="A359" s="35"/>
      <c r="B359" s="35"/>
      <c r="C359" s="35"/>
      <c r="D359" s="35"/>
      <c r="E359" s="35"/>
      <c r="F359" s="35"/>
    </row>
    <row r="360">
      <c r="A360" s="35"/>
      <c r="B360" s="35"/>
      <c r="C360" s="35"/>
      <c r="D360" s="35"/>
      <c r="E360" s="35"/>
      <c r="F360" s="35"/>
    </row>
    <row r="361">
      <c r="A361" s="35"/>
      <c r="B361" s="35"/>
      <c r="C361" s="35"/>
      <c r="D361" s="35"/>
      <c r="E361" s="35"/>
      <c r="F361" s="35"/>
    </row>
    <row r="362">
      <c r="A362" s="35"/>
      <c r="B362" s="35"/>
      <c r="C362" s="35"/>
      <c r="D362" s="35"/>
      <c r="E362" s="35"/>
      <c r="F362" s="35"/>
    </row>
    <row r="363">
      <c r="A363" s="35"/>
      <c r="B363" s="35"/>
      <c r="C363" s="35"/>
      <c r="D363" s="35"/>
      <c r="E363" s="35"/>
      <c r="F363" s="35"/>
    </row>
    <row r="364">
      <c r="A364" s="35"/>
      <c r="B364" s="35"/>
      <c r="C364" s="35"/>
      <c r="D364" s="35"/>
      <c r="E364" s="35"/>
      <c r="F364" s="35"/>
    </row>
    <row r="365">
      <c r="A365" s="35"/>
      <c r="B365" s="35"/>
      <c r="C365" s="35"/>
      <c r="D365" s="35"/>
      <c r="E365" s="35"/>
      <c r="F365" s="35"/>
    </row>
    <row r="366">
      <c r="A366" s="35"/>
      <c r="B366" s="35"/>
      <c r="C366" s="35"/>
      <c r="D366" s="35"/>
      <c r="E366" s="35"/>
      <c r="F366" s="35"/>
    </row>
    <row r="367">
      <c r="A367" s="35"/>
      <c r="B367" s="35"/>
      <c r="C367" s="35"/>
      <c r="D367" s="35"/>
      <c r="E367" s="35"/>
      <c r="F367" s="35"/>
    </row>
    <row r="368">
      <c r="A368" s="35"/>
      <c r="B368" s="35"/>
      <c r="C368" s="35"/>
      <c r="D368" s="35"/>
      <c r="E368" s="35"/>
      <c r="F368" s="35"/>
    </row>
    <row r="369">
      <c r="A369" s="35"/>
      <c r="B369" s="35"/>
      <c r="C369" s="35"/>
      <c r="D369" s="35"/>
      <c r="E369" s="35"/>
      <c r="F369" s="35"/>
    </row>
    <row r="370">
      <c r="A370" s="35"/>
      <c r="B370" s="35"/>
      <c r="C370" s="35"/>
      <c r="D370" s="35"/>
      <c r="E370" s="35"/>
      <c r="F370" s="35"/>
    </row>
    <row r="371">
      <c r="A371" s="35"/>
      <c r="B371" s="35"/>
      <c r="C371" s="35"/>
      <c r="D371" s="35"/>
      <c r="E371" s="35"/>
      <c r="F371" s="35"/>
    </row>
    <row r="372">
      <c r="A372" s="35"/>
      <c r="B372" s="35"/>
      <c r="C372" s="35"/>
      <c r="D372" s="35"/>
      <c r="E372" s="35"/>
      <c r="F372" s="35"/>
    </row>
    <row r="373">
      <c r="A373" s="35"/>
      <c r="B373" s="35"/>
      <c r="C373" s="35"/>
      <c r="D373" s="35"/>
      <c r="E373" s="35"/>
      <c r="F373" s="35"/>
    </row>
    <row r="374">
      <c r="A374" s="35"/>
      <c r="B374" s="35"/>
      <c r="C374" s="35"/>
      <c r="D374" s="35"/>
      <c r="E374" s="35"/>
      <c r="F374" s="35"/>
    </row>
    <row r="375">
      <c r="A375" s="35"/>
      <c r="B375" s="35"/>
      <c r="C375" s="35"/>
      <c r="D375" s="35"/>
      <c r="E375" s="35"/>
      <c r="F375" s="35"/>
    </row>
    <row r="376">
      <c r="A376" s="35"/>
      <c r="B376" s="35"/>
      <c r="C376" s="35"/>
      <c r="D376" s="35"/>
      <c r="E376" s="35"/>
      <c r="F376" s="35"/>
    </row>
    <row r="377">
      <c r="A377" s="35"/>
      <c r="B377" s="35"/>
      <c r="C377" s="35"/>
      <c r="D377" s="35"/>
      <c r="E377" s="35"/>
      <c r="F377" s="35"/>
    </row>
    <row r="378">
      <c r="A378" s="35"/>
      <c r="B378" s="35"/>
      <c r="C378" s="35"/>
      <c r="D378" s="35"/>
      <c r="E378" s="35"/>
      <c r="F378" s="35"/>
    </row>
    <row r="379">
      <c r="A379" s="35"/>
      <c r="B379" s="35"/>
      <c r="C379" s="35"/>
      <c r="D379" s="35"/>
      <c r="E379" s="35"/>
      <c r="F379" s="35"/>
    </row>
    <row r="380">
      <c r="A380" s="35"/>
      <c r="B380" s="35"/>
      <c r="C380" s="35"/>
      <c r="D380" s="35"/>
      <c r="E380" s="35"/>
      <c r="F380" s="35"/>
    </row>
    <row r="381">
      <c r="A381" s="35"/>
      <c r="B381" s="35"/>
      <c r="C381" s="35"/>
      <c r="D381" s="35"/>
      <c r="E381" s="35"/>
      <c r="F381" s="35"/>
    </row>
    <row r="382">
      <c r="A382" s="35"/>
      <c r="B382" s="35"/>
      <c r="C382" s="35"/>
      <c r="D382" s="35"/>
      <c r="E382" s="35"/>
      <c r="F382" s="35"/>
    </row>
    <row r="383">
      <c r="A383" s="35"/>
      <c r="B383" s="35"/>
      <c r="C383" s="35"/>
      <c r="D383" s="35"/>
      <c r="E383" s="35"/>
      <c r="F383" s="35"/>
    </row>
    <row r="384">
      <c r="A384" s="35"/>
      <c r="B384" s="35"/>
      <c r="C384" s="35"/>
      <c r="D384" s="35"/>
      <c r="E384" s="35"/>
      <c r="F384" s="35"/>
    </row>
    <row r="385">
      <c r="A385" s="35"/>
      <c r="B385" s="35"/>
      <c r="C385" s="35"/>
      <c r="D385" s="35"/>
      <c r="E385" s="35"/>
      <c r="F385" s="35"/>
    </row>
    <row r="386">
      <c r="A386" s="35"/>
      <c r="B386" s="35"/>
      <c r="C386" s="35"/>
      <c r="D386" s="35"/>
      <c r="E386" s="35"/>
      <c r="F386" s="35"/>
    </row>
    <row r="387">
      <c r="A387" s="35"/>
      <c r="B387" s="35"/>
      <c r="C387" s="35"/>
      <c r="D387" s="35"/>
      <c r="E387" s="35"/>
      <c r="F387" s="35"/>
    </row>
    <row r="388">
      <c r="A388" s="35"/>
      <c r="B388" s="35"/>
      <c r="C388" s="35"/>
      <c r="D388" s="35"/>
      <c r="E388" s="35"/>
      <c r="F388" s="35"/>
    </row>
    <row r="389">
      <c r="A389" s="35"/>
      <c r="B389" s="35"/>
      <c r="C389" s="35"/>
      <c r="D389" s="35"/>
      <c r="E389" s="35"/>
      <c r="F389" s="35"/>
    </row>
    <row r="390">
      <c r="A390" s="35"/>
      <c r="B390" s="35"/>
      <c r="C390" s="35"/>
      <c r="D390" s="35"/>
      <c r="E390" s="35"/>
      <c r="F390" s="35"/>
    </row>
    <row r="391">
      <c r="A391" s="35"/>
      <c r="B391" s="35"/>
      <c r="C391" s="35"/>
      <c r="D391" s="35"/>
      <c r="E391" s="35"/>
      <c r="F391" s="35"/>
    </row>
    <row r="392">
      <c r="A392" s="35"/>
      <c r="B392" s="35"/>
      <c r="C392" s="35"/>
      <c r="D392" s="35"/>
      <c r="E392" s="35"/>
      <c r="F392" s="35"/>
    </row>
    <row r="393">
      <c r="A393" s="35"/>
      <c r="B393" s="35"/>
      <c r="C393" s="35"/>
      <c r="D393" s="35"/>
      <c r="E393" s="35"/>
      <c r="F393" s="35"/>
    </row>
    <row r="394">
      <c r="A394" s="35"/>
      <c r="B394" s="35"/>
      <c r="C394" s="35"/>
      <c r="D394" s="35"/>
      <c r="E394" s="35"/>
      <c r="F394" s="35"/>
    </row>
    <row r="395">
      <c r="A395" s="35"/>
      <c r="B395" s="35"/>
      <c r="C395" s="35"/>
      <c r="D395" s="35"/>
      <c r="E395" s="35"/>
      <c r="F395" s="35"/>
    </row>
    <row r="396">
      <c r="A396" s="35"/>
      <c r="B396" s="35"/>
      <c r="C396" s="35"/>
      <c r="D396" s="35"/>
      <c r="E396" s="35"/>
      <c r="F396" s="35"/>
    </row>
    <row r="397">
      <c r="A397" s="35"/>
      <c r="B397" s="35"/>
      <c r="C397" s="35"/>
      <c r="D397" s="35"/>
      <c r="E397" s="35"/>
      <c r="F397" s="35"/>
    </row>
    <row r="398">
      <c r="A398" s="35"/>
      <c r="B398" s="35"/>
      <c r="C398" s="35"/>
      <c r="D398" s="35"/>
      <c r="E398" s="35"/>
      <c r="F398" s="35"/>
    </row>
    <row r="399">
      <c r="A399" s="35"/>
      <c r="B399" s="35"/>
      <c r="C399" s="35"/>
      <c r="D399" s="35"/>
      <c r="E399" s="35"/>
      <c r="F399" s="35"/>
    </row>
    <row r="400">
      <c r="A400" s="35"/>
      <c r="B400" s="35"/>
      <c r="C400" s="35"/>
      <c r="D400" s="35"/>
      <c r="E400" s="35"/>
      <c r="F400" s="35"/>
    </row>
    <row r="401">
      <c r="A401" s="35"/>
      <c r="B401" s="35"/>
      <c r="C401" s="35"/>
      <c r="D401" s="35"/>
      <c r="E401" s="35"/>
      <c r="F401" s="35"/>
    </row>
    <row r="402">
      <c r="A402" s="35"/>
      <c r="B402" s="35"/>
      <c r="C402" s="35"/>
      <c r="D402" s="35"/>
      <c r="E402" s="35"/>
      <c r="F402" s="35"/>
    </row>
    <row r="403">
      <c r="A403" s="35"/>
      <c r="B403" s="35"/>
      <c r="C403" s="35"/>
      <c r="D403" s="35"/>
      <c r="E403" s="35"/>
      <c r="F403" s="35"/>
    </row>
    <row r="404">
      <c r="A404" s="35"/>
      <c r="B404" s="35"/>
      <c r="C404" s="35"/>
      <c r="D404" s="35"/>
      <c r="E404" s="35"/>
      <c r="F404" s="35"/>
    </row>
    <row r="405">
      <c r="A405" s="35"/>
      <c r="B405" s="35"/>
      <c r="C405" s="35"/>
      <c r="D405" s="35"/>
      <c r="E405" s="35"/>
      <c r="F405" s="35"/>
    </row>
    <row r="406">
      <c r="A406" s="35"/>
      <c r="B406" s="35"/>
      <c r="C406" s="35"/>
      <c r="D406" s="35"/>
      <c r="E406" s="35"/>
      <c r="F406" s="35"/>
    </row>
    <row r="407">
      <c r="A407" s="35"/>
      <c r="B407" s="35"/>
      <c r="C407" s="35"/>
      <c r="D407" s="35"/>
      <c r="E407" s="35"/>
      <c r="F407" s="35"/>
    </row>
    <row r="408">
      <c r="A408" s="35"/>
      <c r="B408" s="35"/>
      <c r="C408" s="35"/>
      <c r="D408" s="35"/>
      <c r="E408" s="35"/>
      <c r="F408" s="35"/>
    </row>
    <row r="409">
      <c r="A409" s="35"/>
      <c r="B409" s="35"/>
      <c r="C409" s="35"/>
      <c r="D409" s="35"/>
      <c r="E409" s="35"/>
      <c r="F409" s="35"/>
    </row>
    <row r="410">
      <c r="A410" s="35"/>
      <c r="B410" s="35"/>
      <c r="C410" s="35"/>
      <c r="D410" s="35"/>
      <c r="E410" s="35"/>
      <c r="F410" s="35"/>
    </row>
    <row r="411">
      <c r="A411" s="35"/>
      <c r="B411" s="35"/>
      <c r="C411" s="35"/>
      <c r="D411" s="35"/>
      <c r="E411" s="35"/>
      <c r="F411" s="35"/>
    </row>
    <row r="412">
      <c r="A412" s="35"/>
      <c r="B412" s="35"/>
      <c r="C412" s="35"/>
      <c r="D412" s="35"/>
      <c r="E412" s="35"/>
      <c r="F412" s="35"/>
    </row>
    <row r="413">
      <c r="A413" s="35"/>
      <c r="B413" s="35"/>
      <c r="C413" s="35"/>
      <c r="D413" s="35"/>
      <c r="E413" s="35"/>
      <c r="F413" s="35"/>
    </row>
    <row r="414">
      <c r="A414" s="35"/>
      <c r="B414" s="35"/>
      <c r="C414" s="35"/>
      <c r="D414" s="35"/>
      <c r="E414" s="35"/>
      <c r="F414" s="35"/>
    </row>
    <row r="415">
      <c r="A415" s="35"/>
      <c r="B415" s="35"/>
      <c r="C415" s="35"/>
      <c r="D415" s="35"/>
      <c r="E415" s="35"/>
      <c r="F415" s="35"/>
    </row>
    <row r="416">
      <c r="A416" s="35"/>
      <c r="B416" s="35"/>
      <c r="C416" s="35"/>
      <c r="D416" s="35"/>
      <c r="E416" s="35"/>
      <c r="F416" s="35"/>
    </row>
    <row r="417">
      <c r="A417" s="35"/>
      <c r="B417" s="35"/>
      <c r="C417" s="35"/>
      <c r="D417" s="35"/>
      <c r="E417" s="35"/>
      <c r="F417" s="35"/>
    </row>
    <row r="418">
      <c r="A418" s="35"/>
      <c r="B418" s="35"/>
      <c r="C418" s="35"/>
      <c r="D418" s="35"/>
      <c r="E418" s="35"/>
      <c r="F418" s="35"/>
    </row>
    <row r="419">
      <c r="A419" s="35"/>
      <c r="B419" s="35"/>
      <c r="C419" s="35"/>
      <c r="D419" s="35"/>
      <c r="E419" s="35"/>
      <c r="F419" s="35"/>
    </row>
    <row r="420">
      <c r="A420" s="35"/>
      <c r="B420" s="35"/>
      <c r="C420" s="35"/>
      <c r="D420" s="35"/>
      <c r="E420" s="35"/>
      <c r="F420" s="35"/>
    </row>
    <row r="421">
      <c r="A421" s="35"/>
      <c r="B421" s="35"/>
      <c r="C421" s="35"/>
      <c r="D421" s="35"/>
      <c r="E421" s="35"/>
      <c r="F421" s="35"/>
    </row>
    <row r="422">
      <c r="A422" s="35"/>
      <c r="B422" s="35"/>
      <c r="C422" s="35"/>
      <c r="D422" s="35"/>
      <c r="E422" s="35"/>
      <c r="F422" s="35"/>
    </row>
    <row r="423">
      <c r="A423" s="35"/>
      <c r="B423" s="35"/>
      <c r="C423" s="35"/>
      <c r="D423" s="35"/>
      <c r="E423" s="35"/>
      <c r="F423" s="35"/>
    </row>
    <row r="424">
      <c r="A424" s="35"/>
      <c r="B424" s="35"/>
      <c r="C424" s="35"/>
      <c r="D424" s="35"/>
      <c r="E424" s="35"/>
      <c r="F424" s="35"/>
    </row>
    <row r="425">
      <c r="A425" s="35"/>
      <c r="B425" s="35"/>
      <c r="C425" s="35"/>
      <c r="D425" s="35"/>
      <c r="E425" s="35"/>
      <c r="F425" s="35"/>
    </row>
    <row r="426">
      <c r="A426" s="35"/>
      <c r="B426" s="35"/>
      <c r="C426" s="35"/>
      <c r="D426" s="35"/>
      <c r="E426" s="35"/>
      <c r="F426" s="35"/>
    </row>
    <row r="427">
      <c r="A427" s="35"/>
      <c r="B427" s="35"/>
      <c r="C427" s="35"/>
      <c r="D427" s="35"/>
      <c r="E427" s="35"/>
      <c r="F427" s="35"/>
    </row>
    <row r="428">
      <c r="A428" s="35"/>
      <c r="B428" s="35"/>
      <c r="C428" s="35"/>
      <c r="D428" s="35"/>
      <c r="E428" s="35"/>
      <c r="F428" s="35"/>
    </row>
    <row r="429">
      <c r="A429" s="35"/>
      <c r="B429" s="35"/>
      <c r="C429" s="35"/>
      <c r="D429" s="35"/>
      <c r="E429" s="35"/>
      <c r="F429" s="35"/>
    </row>
    <row r="430">
      <c r="A430" s="35"/>
      <c r="B430" s="35"/>
      <c r="C430" s="35"/>
      <c r="D430" s="35"/>
      <c r="E430" s="35"/>
      <c r="F430" s="35"/>
    </row>
    <row r="431">
      <c r="A431" s="35"/>
      <c r="B431" s="35"/>
      <c r="C431" s="35"/>
      <c r="D431" s="35"/>
      <c r="E431" s="35"/>
      <c r="F431" s="35"/>
    </row>
    <row r="432">
      <c r="A432" s="35"/>
      <c r="B432" s="35"/>
      <c r="C432" s="35"/>
      <c r="D432" s="35"/>
      <c r="E432" s="35"/>
      <c r="F432" s="35"/>
    </row>
    <row r="433">
      <c r="A433" s="35"/>
      <c r="B433" s="35"/>
      <c r="C433" s="35"/>
      <c r="D433" s="35"/>
      <c r="E433" s="35"/>
      <c r="F433" s="35"/>
    </row>
    <row r="434">
      <c r="A434" s="35"/>
      <c r="B434" s="35"/>
      <c r="C434" s="35"/>
      <c r="D434" s="35"/>
      <c r="E434" s="35"/>
      <c r="F434" s="35"/>
    </row>
    <row r="435">
      <c r="A435" s="35"/>
      <c r="B435" s="35"/>
      <c r="C435" s="35"/>
      <c r="D435" s="35"/>
      <c r="E435" s="35"/>
      <c r="F435" s="35"/>
    </row>
    <row r="436">
      <c r="A436" s="35"/>
      <c r="B436" s="35"/>
      <c r="C436" s="35"/>
      <c r="D436" s="35"/>
      <c r="E436" s="35"/>
      <c r="F436" s="35"/>
    </row>
    <row r="437">
      <c r="A437" s="35"/>
      <c r="B437" s="35"/>
      <c r="C437" s="35"/>
      <c r="D437" s="35"/>
      <c r="E437" s="35"/>
      <c r="F437" s="35"/>
    </row>
    <row r="438">
      <c r="A438" s="35"/>
      <c r="B438" s="35"/>
      <c r="C438" s="35"/>
      <c r="D438" s="35"/>
      <c r="E438" s="35"/>
      <c r="F438" s="35"/>
    </row>
    <row r="439">
      <c r="A439" s="35"/>
      <c r="B439" s="35"/>
      <c r="C439" s="35"/>
      <c r="D439" s="35"/>
      <c r="E439" s="35"/>
      <c r="F439" s="35"/>
    </row>
    <row r="440">
      <c r="A440" s="35"/>
      <c r="B440" s="35"/>
      <c r="C440" s="35"/>
      <c r="D440" s="35"/>
      <c r="E440" s="35"/>
      <c r="F440" s="35"/>
    </row>
    <row r="441">
      <c r="A441" s="35"/>
      <c r="B441" s="35"/>
      <c r="C441" s="35"/>
      <c r="D441" s="35"/>
      <c r="E441" s="35"/>
      <c r="F441" s="35"/>
    </row>
    <row r="442">
      <c r="A442" s="35"/>
      <c r="B442" s="35"/>
      <c r="C442" s="35"/>
      <c r="D442" s="35"/>
      <c r="E442" s="35"/>
      <c r="F442" s="35"/>
    </row>
    <row r="443">
      <c r="A443" s="35"/>
      <c r="B443" s="35"/>
      <c r="C443" s="35"/>
      <c r="D443" s="35"/>
      <c r="E443" s="35"/>
      <c r="F443" s="35"/>
    </row>
    <row r="444">
      <c r="A444" s="35"/>
      <c r="B444" s="35"/>
      <c r="C444" s="35"/>
      <c r="D444" s="35"/>
      <c r="E444" s="35"/>
      <c r="F444" s="35"/>
    </row>
    <row r="445">
      <c r="A445" s="35"/>
      <c r="B445" s="35"/>
      <c r="C445" s="35"/>
      <c r="D445" s="35"/>
      <c r="E445" s="35"/>
      <c r="F445" s="35"/>
    </row>
    <row r="446">
      <c r="A446" s="35"/>
      <c r="B446" s="35"/>
      <c r="C446" s="35"/>
      <c r="D446" s="35"/>
      <c r="E446" s="35"/>
      <c r="F446" s="35"/>
    </row>
    <row r="447">
      <c r="A447" s="35"/>
      <c r="B447" s="35"/>
      <c r="C447" s="35"/>
      <c r="D447" s="35"/>
      <c r="E447" s="35"/>
      <c r="F447" s="35"/>
    </row>
    <row r="448">
      <c r="A448" s="35"/>
      <c r="B448" s="35"/>
      <c r="C448" s="35"/>
      <c r="D448" s="35"/>
      <c r="E448" s="35"/>
      <c r="F448" s="35"/>
    </row>
    <row r="449">
      <c r="A449" s="35"/>
      <c r="B449" s="35"/>
      <c r="C449" s="35"/>
      <c r="D449" s="35"/>
      <c r="E449" s="35"/>
      <c r="F449" s="35"/>
    </row>
    <row r="450">
      <c r="A450" s="35"/>
      <c r="B450" s="35"/>
      <c r="C450" s="35"/>
      <c r="D450" s="35"/>
      <c r="E450" s="35"/>
      <c r="F450" s="35"/>
    </row>
    <row r="451">
      <c r="A451" s="35"/>
      <c r="B451" s="35"/>
      <c r="C451" s="35"/>
      <c r="D451" s="35"/>
      <c r="E451" s="35"/>
      <c r="F451" s="35"/>
    </row>
    <row r="452">
      <c r="A452" s="35"/>
      <c r="B452" s="35"/>
      <c r="C452" s="35"/>
      <c r="D452" s="35"/>
      <c r="E452" s="35"/>
      <c r="F452" s="35"/>
    </row>
    <row r="453">
      <c r="A453" s="35"/>
      <c r="B453" s="35"/>
      <c r="C453" s="35"/>
      <c r="D453" s="35"/>
      <c r="E453" s="35"/>
      <c r="F453" s="35"/>
    </row>
    <row r="454">
      <c r="A454" s="35"/>
      <c r="B454" s="35"/>
      <c r="C454" s="35"/>
      <c r="D454" s="35"/>
      <c r="E454" s="35"/>
      <c r="F454" s="35"/>
    </row>
    <row r="455">
      <c r="A455" s="35"/>
      <c r="B455" s="35"/>
      <c r="C455" s="35"/>
      <c r="D455" s="35"/>
      <c r="E455" s="35"/>
      <c r="F455" s="35"/>
    </row>
    <row r="456">
      <c r="A456" s="35"/>
      <c r="B456" s="35"/>
      <c r="C456" s="35"/>
      <c r="D456" s="35"/>
      <c r="E456" s="35"/>
      <c r="F456" s="35"/>
    </row>
    <row r="457">
      <c r="A457" s="35"/>
      <c r="B457" s="35"/>
      <c r="C457" s="35"/>
      <c r="D457" s="35"/>
      <c r="E457" s="35"/>
      <c r="F457" s="35"/>
    </row>
    <row r="458">
      <c r="A458" s="35"/>
      <c r="B458" s="35"/>
      <c r="C458" s="35"/>
      <c r="D458" s="35"/>
      <c r="E458" s="35"/>
      <c r="F458" s="35"/>
    </row>
    <row r="459">
      <c r="A459" s="35"/>
      <c r="B459" s="35"/>
      <c r="C459" s="35"/>
      <c r="D459" s="35"/>
      <c r="E459" s="35"/>
      <c r="F459" s="35"/>
    </row>
    <row r="460">
      <c r="A460" s="35"/>
      <c r="B460" s="35"/>
      <c r="C460" s="35"/>
      <c r="D460" s="35"/>
      <c r="E460" s="35"/>
      <c r="F460" s="35"/>
    </row>
    <row r="461">
      <c r="A461" s="35"/>
      <c r="B461" s="35"/>
      <c r="C461" s="35"/>
      <c r="D461" s="35"/>
      <c r="E461" s="35"/>
      <c r="F461" s="35"/>
    </row>
    <row r="462">
      <c r="A462" s="35"/>
      <c r="B462" s="35"/>
      <c r="C462" s="35"/>
      <c r="D462" s="35"/>
      <c r="E462" s="35"/>
      <c r="F462" s="35"/>
    </row>
    <row r="463">
      <c r="A463" s="35"/>
      <c r="B463" s="35"/>
      <c r="C463" s="35"/>
      <c r="D463" s="35"/>
      <c r="E463" s="35"/>
      <c r="F463" s="35"/>
    </row>
    <row r="464">
      <c r="A464" s="35"/>
      <c r="B464" s="35"/>
      <c r="C464" s="35"/>
      <c r="D464" s="35"/>
      <c r="E464" s="35"/>
      <c r="F464" s="35"/>
    </row>
    <row r="465">
      <c r="A465" s="35"/>
      <c r="B465" s="35"/>
      <c r="C465" s="35"/>
      <c r="D465" s="35"/>
      <c r="E465" s="35"/>
      <c r="F465" s="35"/>
    </row>
    <row r="466">
      <c r="A466" s="35"/>
      <c r="B466" s="35"/>
      <c r="C466" s="35"/>
      <c r="D466" s="35"/>
      <c r="E466" s="35"/>
      <c r="F466" s="35"/>
    </row>
    <row r="467">
      <c r="A467" s="35"/>
      <c r="B467" s="35"/>
      <c r="C467" s="35"/>
      <c r="D467" s="35"/>
      <c r="E467" s="35"/>
      <c r="F467" s="35"/>
    </row>
    <row r="468">
      <c r="A468" s="35"/>
      <c r="B468" s="35"/>
      <c r="C468" s="35"/>
      <c r="D468" s="35"/>
      <c r="E468" s="35"/>
      <c r="F468" s="35"/>
    </row>
    <row r="469">
      <c r="A469" s="35"/>
      <c r="B469" s="35"/>
      <c r="C469" s="35"/>
      <c r="D469" s="35"/>
      <c r="E469" s="35"/>
      <c r="F469" s="35"/>
    </row>
    <row r="470">
      <c r="A470" s="35"/>
      <c r="B470" s="35"/>
      <c r="C470" s="35"/>
      <c r="D470" s="35"/>
      <c r="E470" s="35"/>
      <c r="F470" s="35"/>
    </row>
    <row r="471">
      <c r="A471" s="35"/>
      <c r="B471" s="35"/>
      <c r="C471" s="35"/>
      <c r="D471" s="35"/>
      <c r="E471" s="35"/>
      <c r="F471" s="35"/>
    </row>
    <row r="472">
      <c r="A472" s="35"/>
      <c r="B472" s="35"/>
      <c r="C472" s="35"/>
      <c r="D472" s="35"/>
      <c r="E472" s="35"/>
      <c r="F472" s="35"/>
    </row>
    <row r="473">
      <c r="A473" s="35"/>
      <c r="B473" s="35"/>
      <c r="C473" s="35"/>
      <c r="D473" s="35"/>
      <c r="E473" s="35"/>
      <c r="F473" s="35"/>
    </row>
    <row r="474">
      <c r="A474" s="35"/>
      <c r="B474" s="35"/>
      <c r="C474" s="35"/>
      <c r="D474" s="35"/>
      <c r="E474" s="35"/>
      <c r="F474" s="35"/>
    </row>
    <row r="475">
      <c r="A475" s="35"/>
      <c r="B475" s="35"/>
      <c r="C475" s="35"/>
      <c r="D475" s="35"/>
      <c r="E475" s="35"/>
      <c r="F475" s="35"/>
    </row>
    <row r="476">
      <c r="A476" s="35"/>
      <c r="B476" s="35"/>
      <c r="C476" s="35"/>
      <c r="D476" s="35"/>
      <c r="E476" s="35"/>
      <c r="F476" s="35"/>
    </row>
    <row r="477">
      <c r="A477" s="35"/>
      <c r="B477" s="35"/>
      <c r="C477" s="35"/>
      <c r="D477" s="35"/>
      <c r="E477" s="35"/>
      <c r="F477" s="35"/>
    </row>
    <row r="478">
      <c r="A478" s="35"/>
      <c r="B478" s="35"/>
      <c r="C478" s="35"/>
      <c r="D478" s="35"/>
      <c r="E478" s="35"/>
      <c r="F478" s="35"/>
    </row>
    <row r="479">
      <c r="A479" s="35"/>
      <c r="B479" s="35"/>
      <c r="C479" s="35"/>
      <c r="D479" s="35"/>
      <c r="E479" s="35"/>
      <c r="F479" s="35"/>
    </row>
    <row r="480">
      <c r="A480" s="35"/>
      <c r="B480" s="35"/>
      <c r="C480" s="35"/>
      <c r="D480" s="35"/>
      <c r="E480" s="35"/>
      <c r="F480" s="35"/>
    </row>
    <row r="481">
      <c r="A481" s="35"/>
      <c r="B481" s="35"/>
      <c r="C481" s="35"/>
      <c r="D481" s="35"/>
      <c r="E481" s="35"/>
      <c r="F481" s="35"/>
    </row>
    <row r="482">
      <c r="A482" s="35"/>
      <c r="B482" s="35"/>
      <c r="C482" s="35"/>
      <c r="D482" s="35"/>
      <c r="E482" s="35"/>
      <c r="F482" s="35"/>
    </row>
    <row r="483">
      <c r="A483" s="35"/>
      <c r="B483" s="35"/>
      <c r="C483" s="35"/>
      <c r="D483" s="35"/>
      <c r="E483" s="35"/>
      <c r="F483" s="35"/>
    </row>
    <row r="484">
      <c r="A484" s="35"/>
      <c r="B484" s="35"/>
      <c r="C484" s="35"/>
      <c r="D484" s="35"/>
      <c r="E484" s="35"/>
      <c r="F484" s="35"/>
    </row>
    <row r="485">
      <c r="A485" s="35"/>
      <c r="B485" s="35"/>
      <c r="C485" s="35"/>
      <c r="D485" s="35"/>
      <c r="E485" s="35"/>
      <c r="F485" s="35"/>
    </row>
    <row r="486">
      <c r="A486" s="35"/>
      <c r="B486" s="35"/>
      <c r="C486" s="35"/>
      <c r="D486" s="35"/>
      <c r="E486" s="35"/>
      <c r="F486" s="35"/>
    </row>
    <row r="487">
      <c r="A487" s="35"/>
      <c r="B487" s="35"/>
      <c r="C487" s="35"/>
      <c r="D487" s="35"/>
      <c r="E487" s="35"/>
      <c r="F487" s="35"/>
    </row>
    <row r="488">
      <c r="A488" s="35"/>
      <c r="B488" s="35"/>
      <c r="C488" s="35"/>
      <c r="D488" s="35"/>
      <c r="E488" s="35"/>
      <c r="F488" s="35"/>
    </row>
    <row r="489">
      <c r="A489" s="35"/>
      <c r="B489" s="35"/>
      <c r="C489" s="35"/>
      <c r="D489" s="35"/>
      <c r="E489" s="35"/>
      <c r="F489" s="35"/>
    </row>
    <row r="490">
      <c r="A490" s="35"/>
      <c r="B490" s="35"/>
      <c r="C490" s="35"/>
      <c r="D490" s="35"/>
      <c r="E490" s="35"/>
      <c r="F490" s="35"/>
    </row>
    <row r="491">
      <c r="A491" s="35"/>
      <c r="B491" s="35"/>
      <c r="C491" s="35"/>
      <c r="D491" s="35"/>
      <c r="E491" s="35"/>
      <c r="F491" s="35"/>
    </row>
    <row r="492">
      <c r="A492" s="35"/>
      <c r="B492" s="35"/>
      <c r="C492" s="35"/>
      <c r="D492" s="35"/>
      <c r="E492" s="35"/>
      <c r="F492" s="35"/>
    </row>
    <row r="493">
      <c r="A493" s="35"/>
      <c r="B493" s="35"/>
      <c r="C493" s="35"/>
      <c r="D493" s="35"/>
      <c r="E493" s="35"/>
      <c r="F493" s="35"/>
    </row>
    <row r="494">
      <c r="A494" s="35"/>
      <c r="B494" s="35"/>
      <c r="C494" s="35"/>
      <c r="D494" s="35"/>
      <c r="E494" s="35"/>
      <c r="F494" s="35"/>
    </row>
    <row r="495">
      <c r="A495" s="35"/>
      <c r="B495" s="35"/>
      <c r="C495" s="35"/>
      <c r="D495" s="35"/>
      <c r="E495" s="35"/>
      <c r="F495" s="35"/>
    </row>
    <row r="496">
      <c r="A496" s="35"/>
      <c r="B496" s="35"/>
      <c r="C496" s="35"/>
      <c r="D496" s="35"/>
      <c r="E496" s="35"/>
      <c r="F496" s="35"/>
    </row>
    <row r="497">
      <c r="A497" s="35"/>
      <c r="B497" s="35"/>
      <c r="C497" s="35"/>
      <c r="D497" s="35"/>
      <c r="E497" s="35"/>
      <c r="F497" s="35"/>
    </row>
    <row r="498">
      <c r="A498" s="35"/>
      <c r="B498" s="35"/>
      <c r="C498" s="35"/>
      <c r="D498" s="35"/>
      <c r="E498" s="35"/>
      <c r="F498" s="35"/>
    </row>
    <row r="499">
      <c r="A499" s="35"/>
      <c r="B499" s="35"/>
      <c r="C499" s="35"/>
      <c r="D499" s="35"/>
      <c r="E499" s="35"/>
      <c r="F499" s="35"/>
    </row>
    <row r="500">
      <c r="A500" s="35"/>
      <c r="B500" s="35"/>
      <c r="C500" s="35"/>
      <c r="D500" s="35"/>
      <c r="E500" s="35"/>
      <c r="F500" s="35"/>
    </row>
    <row r="501">
      <c r="A501" s="35"/>
      <c r="B501" s="35"/>
      <c r="C501" s="35"/>
      <c r="D501" s="35"/>
      <c r="E501" s="35"/>
      <c r="F501" s="35"/>
    </row>
    <row r="502">
      <c r="A502" s="35"/>
      <c r="B502" s="35"/>
      <c r="C502" s="35"/>
      <c r="D502" s="35"/>
      <c r="E502" s="35"/>
      <c r="F502" s="35"/>
    </row>
    <row r="503">
      <c r="A503" s="35"/>
      <c r="B503" s="35"/>
      <c r="C503" s="35"/>
      <c r="D503" s="35"/>
      <c r="E503" s="35"/>
      <c r="F503" s="35"/>
    </row>
    <row r="504">
      <c r="A504" s="35"/>
      <c r="B504" s="35"/>
      <c r="C504" s="35"/>
      <c r="D504" s="35"/>
      <c r="E504" s="35"/>
      <c r="F504" s="35"/>
    </row>
    <row r="505">
      <c r="A505" s="35"/>
      <c r="B505" s="35"/>
      <c r="C505" s="35"/>
      <c r="D505" s="35"/>
      <c r="E505" s="35"/>
      <c r="F505" s="35"/>
    </row>
    <row r="506">
      <c r="A506" s="35"/>
      <c r="B506" s="35"/>
      <c r="C506" s="35"/>
      <c r="D506" s="35"/>
      <c r="E506" s="35"/>
      <c r="F506" s="35"/>
    </row>
    <row r="507">
      <c r="A507" s="35"/>
      <c r="B507" s="35"/>
      <c r="C507" s="35"/>
      <c r="D507" s="35"/>
      <c r="E507" s="35"/>
      <c r="F507" s="35"/>
    </row>
    <row r="508">
      <c r="A508" s="35"/>
      <c r="B508" s="35"/>
      <c r="C508" s="35"/>
      <c r="D508" s="35"/>
      <c r="E508" s="35"/>
      <c r="F508" s="35"/>
    </row>
    <row r="509">
      <c r="A509" s="35"/>
      <c r="B509" s="35"/>
      <c r="C509" s="35"/>
      <c r="D509" s="35"/>
      <c r="E509" s="35"/>
      <c r="F509" s="35"/>
    </row>
    <row r="510">
      <c r="A510" s="35"/>
      <c r="B510" s="35"/>
      <c r="C510" s="35"/>
      <c r="D510" s="35"/>
      <c r="E510" s="35"/>
      <c r="F510" s="35"/>
    </row>
    <row r="511">
      <c r="A511" s="35"/>
      <c r="B511" s="35"/>
      <c r="C511" s="35"/>
      <c r="D511" s="35"/>
      <c r="E511" s="35"/>
      <c r="F511" s="35"/>
    </row>
    <row r="512">
      <c r="A512" s="35"/>
      <c r="B512" s="35"/>
      <c r="C512" s="35"/>
      <c r="D512" s="35"/>
      <c r="E512" s="35"/>
      <c r="F512" s="35"/>
    </row>
    <row r="513">
      <c r="A513" s="35"/>
      <c r="B513" s="35"/>
      <c r="C513" s="35"/>
      <c r="D513" s="35"/>
      <c r="E513" s="35"/>
      <c r="F513" s="35"/>
    </row>
    <row r="514">
      <c r="A514" s="35"/>
      <c r="B514" s="35"/>
      <c r="C514" s="35"/>
      <c r="D514" s="35"/>
      <c r="E514" s="35"/>
      <c r="F514" s="35"/>
    </row>
    <row r="515">
      <c r="A515" s="35"/>
      <c r="B515" s="35"/>
      <c r="C515" s="35"/>
      <c r="D515" s="35"/>
      <c r="E515" s="35"/>
      <c r="F515" s="35"/>
    </row>
    <row r="516">
      <c r="A516" s="35"/>
      <c r="B516" s="35"/>
      <c r="C516" s="35"/>
      <c r="D516" s="35"/>
      <c r="E516" s="35"/>
      <c r="F516" s="35"/>
    </row>
    <row r="517">
      <c r="A517" s="35"/>
      <c r="B517" s="35"/>
      <c r="C517" s="35"/>
      <c r="D517" s="35"/>
      <c r="E517" s="35"/>
      <c r="F517" s="35"/>
    </row>
    <row r="518">
      <c r="A518" s="35"/>
      <c r="B518" s="35"/>
      <c r="C518" s="35"/>
      <c r="D518" s="35"/>
      <c r="E518" s="35"/>
      <c r="F518" s="35"/>
    </row>
    <row r="519">
      <c r="A519" s="35"/>
      <c r="B519" s="35"/>
      <c r="C519" s="35"/>
      <c r="D519" s="35"/>
      <c r="E519" s="35"/>
      <c r="F519" s="35"/>
    </row>
    <row r="520">
      <c r="A520" s="35"/>
      <c r="B520" s="35"/>
      <c r="C520" s="35"/>
      <c r="D520" s="35"/>
      <c r="E520" s="35"/>
      <c r="F520" s="35"/>
    </row>
    <row r="521">
      <c r="A521" s="35"/>
      <c r="B521" s="35"/>
      <c r="C521" s="35"/>
      <c r="D521" s="35"/>
      <c r="E521" s="35"/>
      <c r="F521" s="35"/>
    </row>
    <row r="522">
      <c r="A522" s="35"/>
      <c r="B522" s="35"/>
      <c r="C522" s="35"/>
      <c r="D522" s="35"/>
      <c r="E522" s="35"/>
      <c r="F522" s="35"/>
    </row>
    <row r="523">
      <c r="A523" s="35"/>
      <c r="B523" s="35"/>
      <c r="C523" s="35"/>
      <c r="D523" s="35"/>
      <c r="E523" s="35"/>
      <c r="F523" s="35"/>
    </row>
    <row r="524">
      <c r="A524" s="35"/>
      <c r="B524" s="35"/>
      <c r="C524" s="35"/>
      <c r="D524" s="35"/>
      <c r="E524" s="35"/>
      <c r="F524" s="35"/>
    </row>
    <row r="525">
      <c r="A525" s="35"/>
      <c r="B525" s="35"/>
      <c r="C525" s="35"/>
      <c r="D525" s="35"/>
      <c r="E525" s="35"/>
      <c r="F525" s="35"/>
    </row>
    <row r="526">
      <c r="A526" s="35"/>
      <c r="B526" s="35"/>
      <c r="C526" s="35"/>
      <c r="D526" s="35"/>
      <c r="E526" s="35"/>
      <c r="F526" s="35"/>
    </row>
    <row r="527">
      <c r="A527" s="35"/>
      <c r="B527" s="35"/>
      <c r="C527" s="35"/>
      <c r="D527" s="35"/>
      <c r="E527" s="35"/>
      <c r="F527" s="35"/>
    </row>
    <row r="528">
      <c r="A528" s="35"/>
      <c r="B528" s="35"/>
      <c r="C528" s="35"/>
      <c r="D528" s="35"/>
      <c r="E528" s="35"/>
      <c r="F528" s="35"/>
    </row>
    <row r="529">
      <c r="A529" s="35"/>
      <c r="B529" s="35"/>
      <c r="C529" s="35"/>
      <c r="D529" s="35"/>
      <c r="E529" s="35"/>
      <c r="F529" s="35"/>
    </row>
    <row r="530">
      <c r="A530" s="35"/>
      <c r="B530" s="35"/>
      <c r="C530" s="35"/>
      <c r="D530" s="35"/>
      <c r="E530" s="35"/>
      <c r="F530" s="35"/>
    </row>
    <row r="531">
      <c r="A531" s="35"/>
      <c r="B531" s="35"/>
      <c r="C531" s="35"/>
      <c r="D531" s="35"/>
      <c r="E531" s="35"/>
      <c r="F531" s="35"/>
    </row>
    <row r="532">
      <c r="A532" s="35"/>
      <c r="B532" s="35"/>
      <c r="C532" s="35"/>
      <c r="D532" s="35"/>
      <c r="E532" s="35"/>
      <c r="F532" s="35"/>
    </row>
    <row r="533">
      <c r="A533" s="35"/>
      <c r="B533" s="35"/>
      <c r="C533" s="35"/>
      <c r="D533" s="35"/>
      <c r="E533" s="35"/>
      <c r="F533" s="35"/>
    </row>
    <row r="534">
      <c r="A534" s="35"/>
      <c r="B534" s="35"/>
      <c r="C534" s="35"/>
      <c r="D534" s="35"/>
      <c r="E534" s="35"/>
      <c r="F534" s="35"/>
    </row>
    <row r="535">
      <c r="A535" s="35"/>
      <c r="B535" s="35"/>
      <c r="C535" s="35"/>
      <c r="D535" s="35"/>
      <c r="E535" s="35"/>
      <c r="F535" s="35"/>
    </row>
    <row r="536">
      <c r="A536" s="35"/>
      <c r="B536" s="35"/>
      <c r="C536" s="35"/>
      <c r="D536" s="35"/>
      <c r="E536" s="35"/>
      <c r="F536" s="35"/>
    </row>
    <row r="537">
      <c r="A537" s="35"/>
      <c r="B537" s="35"/>
      <c r="C537" s="35"/>
      <c r="D537" s="35"/>
      <c r="E537" s="35"/>
      <c r="F537" s="35"/>
    </row>
    <row r="538">
      <c r="A538" s="35"/>
      <c r="B538" s="35"/>
      <c r="C538" s="35"/>
      <c r="D538" s="35"/>
      <c r="E538" s="35"/>
      <c r="F538" s="35"/>
    </row>
    <row r="539">
      <c r="A539" s="35"/>
      <c r="B539" s="35"/>
      <c r="C539" s="35"/>
      <c r="D539" s="35"/>
      <c r="E539" s="35"/>
      <c r="F539" s="35"/>
    </row>
    <row r="540">
      <c r="A540" s="35"/>
      <c r="B540" s="35"/>
      <c r="C540" s="35"/>
      <c r="D540" s="35"/>
      <c r="E540" s="35"/>
      <c r="F540" s="35"/>
    </row>
    <row r="541">
      <c r="A541" s="35"/>
      <c r="B541" s="35"/>
      <c r="C541" s="35"/>
      <c r="D541" s="35"/>
      <c r="E541" s="35"/>
      <c r="F541" s="35"/>
    </row>
    <row r="542">
      <c r="A542" s="35"/>
      <c r="B542" s="35"/>
      <c r="C542" s="35"/>
      <c r="D542" s="35"/>
      <c r="E542" s="35"/>
      <c r="F542" s="35"/>
    </row>
    <row r="543">
      <c r="A543" s="35"/>
      <c r="B543" s="35"/>
      <c r="C543" s="35"/>
      <c r="D543" s="35"/>
      <c r="E543" s="35"/>
      <c r="F543" s="35"/>
    </row>
    <row r="544">
      <c r="A544" s="35"/>
      <c r="B544" s="35"/>
      <c r="C544" s="35"/>
      <c r="D544" s="35"/>
      <c r="E544" s="35"/>
      <c r="F544" s="35"/>
    </row>
    <row r="545">
      <c r="A545" s="35"/>
      <c r="B545" s="35"/>
      <c r="C545" s="35"/>
      <c r="D545" s="35"/>
      <c r="E545" s="35"/>
      <c r="F545" s="35"/>
    </row>
    <row r="546">
      <c r="A546" s="35"/>
      <c r="B546" s="35"/>
      <c r="C546" s="35"/>
      <c r="D546" s="35"/>
      <c r="E546" s="35"/>
      <c r="F546" s="35"/>
    </row>
    <row r="547">
      <c r="A547" s="35"/>
      <c r="B547" s="35"/>
      <c r="C547" s="35"/>
      <c r="D547" s="35"/>
      <c r="E547" s="35"/>
      <c r="F547" s="35"/>
    </row>
    <row r="548">
      <c r="A548" s="35"/>
      <c r="B548" s="35"/>
      <c r="C548" s="35"/>
      <c r="D548" s="35"/>
      <c r="E548" s="35"/>
      <c r="F548" s="35"/>
    </row>
    <row r="549">
      <c r="A549" s="35"/>
      <c r="B549" s="35"/>
      <c r="C549" s="35"/>
      <c r="D549" s="35"/>
      <c r="E549" s="35"/>
      <c r="F549" s="35"/>
    </row>
    <row r="550">
      <c r="A550" s="35"/>
      <c r="B550" s="35"/>
      <c r="C550" s="35"/>
      <c r="D550" s="35"/>
      <c r="E550" s="35"/>
      <c r="F550" s="35"/>
    </row>
    <row r="551">
      <c r="A551" s="35"/>
      <c r="B551" s="35"/>
      <c r="C551" s="35"/>
      <c r="D551" s="35"/>
      <c r="E551" s="35"/>
      <c r="F551" s="35"/>
    </row>
    <row r="552">
      <c r="A552" s="35"/>
      <c r="B552" s="35"/>
      <c r="C552" s="35"/>
      <c r="D552" s="35"/>
      <c r="E552" s="35"/>
      <c r="F552" s="35"/>
    </row>
    <row r="553">
      <c r="A553" s="35"/>
      <c r="B553" s="35"/>
      <c r="C553" s="35"/>
      <c r="D553" s="35"/>
      <c r="E553" s="35"/>
      <c r="F553" s="35"/>
    </row>
    <row r="554">
      <c r="A554" s="35"/>
      <c r="B554" s="35"/>
      <c r="C554" s="35"/>
      <c r="D554" s="35"/>
      <c r="E554" s="35"/>
      <c r="F554" s="35"/>
    </row>
    <row r="555">
      <c r="A555" s="35"/>
      <c r="B555" s="35"/>
      <c r="C555" s="35"/>
      <c r="D555" s="35"/>
      <c r="E555" s="35"/>
      <c r="F555" s="35"/>
    </row>
    <row r="556">
      <c r="A556" s="35"/>
      <c r="B556" s="35"/>
      <c r="C556" s="35"/>
      <c r="D556" s="35"/>
      <c r="E556" s="35"/>
      <c r="F556" s="35"/>
    </row>
    <row r="557">
      <c r="A557" s="35"/>
      <c r="B557" s="35"/>
      <c r="C557" s="35"/>
      <c r="D557" s="35"/>
      <c r="E557" s="35"/>
      <c r="F557" s="35"/>
    </row>
    <row r="558">
      <c r="A558" s="35"/>
      <c r="B558" s="35"/>
      <c r="C558" s="35"/>
      <c r="D558" s="35"/>
      <c r="E558" s="35"/>
      <c r="F558" s="35"/>
    </row>
    <row r="559">
      <c r="A559" s="35"/>
      <c r="B559" s="35"/>
      <c r="C559" s="35"/>
      <c r="D559" s="35"/>
      <c r="E559" s="35"/>
      <c r="F559" s="35"/>
    </row>
    <row r="560">
      <c r="A560" s="35"/>
      <c r="B560" s="35"/>
      <c r="C560" s="35"/>
      <c r="D560" s="35"/>
      <c r="E560" s="35"/>
      <c r="F560" s="35"/>
    </row>
    <row r="561">
      <c r="A561" s="35"/>
      <c r="B561" s="35"/>
      <c r="C561" s="35"/>
      <c r="D561" s="35"/>
      <c r="E561" s="35"/>
      <c r="F561" s="35"/>
    </row>
    <row r="562">
      <c r="A562" s="35"/>
      <c r="B562" s="35"/>
      <c r="C562" s="35"/>
      <c r="D562" s="35"/>
      <c r="E562" s="35"/>
      <c r="F562" s="35"/>
    </row>
    <row r="563">
      <c r="A563" s="35"/>
      <c r="B563" s="35"/>
      <c r="C563" s="35"/>
      <c r="D563" s="35"/>
      <c r="E563" s="35"/>
      <c r="F563" s="35"/>
    </row>
    <row r="564">
      <c r="A564" s="35"/>
      <c r="B564" s="35"/>
      <c r="C564" s="35"/>
      <c r="D564" s="35"/>
      <c r="E564" s="35"/>
      <c r="F564" s="35"/>
    </row>
    <row r="565">
      <c r="A565" s="35"/>
      <c r="B565" s="35"/>
      <c r="C565" s="35"/>
      <c r="D565" s="35"/>
      <c r="E565" s="35"/>
      <c r="F565" s="35"/>
    </row>
    <row r="566">
      <c r="A566" s="35"/>
      <c r="B566" s="35"/>
      <c r="C566" s="35"/>
      <c r="D566" s="35"/>
      <c r="E566" s="35"/>
      <c r="F566" s="35"/>
    </row>
    <row r="567">
      <c r="A567" s="35"/>
      <c r="B567" s="35"/>
      <c r="C567" s="35"/>
      <c r="D567" s="35"/>
      <c r="E567" s="35"/>
      <c r="F567" s="35"/>
    </row>
    <row r="568">
      <c r="A568" s="35"/>
      <c r="B568" s="35"/>
      <c r="C568" s="35"/>
      <c r="D568" s="35"/>
      <c r="E568" s="35"/>
      <c r="F568" s="35"/>
    </row>
    <row r="569">
      <c r="A569" s="35"/>
      <c r="B569" s="35"/>
      <c r="C569" s="35"/>
      <c r="D569" s="35"/>
      <c r="E569" s="35"/>
      <c r="F569" s="35"/>
    </row>
    <row r="570">
      <c r="A570" s="35"/>
      <c r="B570" s="35"/>
      <c r="C570" s="35"/>
      <c r="D570" s="35"/>
      <c r="E570" s="35"/>
      <c r="F570" s="35"/>
    </row>
    <row r="571">
      <c r="A571" s="35"/>
      <c r="B571" s="35"/>
      <c r="C571" s="35"/>
      <c r="D571" s="35"/>
      <c r="E571" s="35"/>
      <c r="F571" s="35"/>
    </row>
    <row r="572">
      <c r="A572" s="35"/>
      <c r="B572" s="35"/>
      <c r="C572" s="35"/>
      <c r="D572" s="35"/>
      <c r="E572" s="35"/>
      <c r="F572" s="35"/>
    </row>
    <row r="573">
      <c r="A573" s="35"/>
      <c r="B573" s="35"/>
      <c r="C573" s="35"/>
      <c r="D573" s="35"/>
      <c r="E573" s="35"/>
      <c r="F573" s="35"/>
    </row>
    <row r="574">
      <c r="A574" s="35"/>
      <c r="B574" s="35"/>
      <c r="C574" s="35"/>
      <c r="D574" s="35"/>
      <c r="E574" s="35"/>
      <c r="F574" s="35"/>
    </row>
    <row r="575">
      <c r="A575" s="35"/>
      <c r="B575" s="35"/>
      <c r="C575" s="35"/>
      <c r="D575" s="35"/>
      <c r="E575" s="35"/>
      <c r="F575" s="35"/>
    </row>
    <row r="576">
      <c r="A576" s="35"/>
      <c r="B576" s="35"/>
      <c r="C576" s="35"/>
      <c r="D576" s="35"/>
      <c r="E576" s="35"/>
      <c r="F576" s="35"/>
    </row>
    <row r="577">
      <c r="A577" s="35"/>
      <c r="B577" s="35"/>
      <c r="C577" s="35"/>
      <c r="D577" s="35"/>
      <c r="E577" s="35"/>
      <c r="F577" s="35"/>
    </row>
    <row r="578">
      <c r="A578" s="35"/>
      <c r="B578" s="35"/>
      <c r="C578" s="35"/>
      <c r="D578" s="35"/>
      <c r="E578" s="35"/>
      <c r="F578" s="35"/>
    </row>
    <row r="579">
      <c r="A579" s="35"/>
      <c r="B579" s="35"/>
      <c r="C579" s="35"/>
      <c r="D579" s="35"/>
      <c r="E579" s="35"/>
      <c r="F579" s="35"/>
    </row>
    <row r="580">
      <c r="A580" s="35"/>
      <c r="B580" s="35"/>
      <c r="C580" s="35"/>
      <c r="D580" s="35"/>
      <c r="E580" s="35"/>
      <c r="F580" s="35"/>
    </row>
    <row r="581">
      <c r="A581" s="35"/>
      <c r="B581" s="35"/>
      <c r="C581" s="35"/>
      <c r="D581" s="35"/>
      <c r="E581" s="35"/>
      <c r="F581" s="35"/>
    </row>
    <row r="582">
      <c r="A582" s="35"/>
      <c r="B582" s="35"/>
      <c r="C582" s="35"/>
      <c r="D582" s="35"/>
      <c r="E582" s="35"/>
      <c r="F582" s="35"/>
    </row>
    <row r="583">
      <c r="A583" s="35"/>
      <c r="B583" s="35"/>
      <c r="C583" s="35"/>
      <c r="D583" s="35"/>
      <c r="E583" s="35"/>
      <c r="F583" s="35"/>
    </row>
    <row r="584">
      <c r="A584" s="35"/>
      <c r="B584" s="35"/>
      <c r="C584" s="35"/>
      <c r="D584" s="35"/>
      <c r="E584" s="35"/>
      <c r="F584" s="35"/>
    </row>
    <row r="585">
      <c r="A585" s="35"/>
      <c r="B585" s="35"/>
      <c r="C585" s="35"/>
      <c r="D585" s="35"/>
      <c r="E585" s="35"/>
      <c r="F585" s="35"/>
    </row>
    <row r="586">
      <c r="A586" s="35"/>
      <c r="B586" s="35"/>
      <c r="C586" s="35"/>
      <c r="D586" s="35"/>
      <c r="E586" s="35"/>
      <c r="F586" s="35"/>
    </row>
    <row r="587">
      <c r="A587" s="35"/>
      <c r="B587" s="35"/>
      <c r="C587" s="35"/>
      <c r="D587" s="35"/>
      <c r="E587" s="35"/>
      <c r="F587" s="35"/>
    </row>
    <row r="588">
      <c r="A588" s="35"/>
      <c r="B588" s="35"/>
      <c r="C588" s="35"/>
      <c r="D588" s="35"/>
      <c r="E588" s="35"/>
      <c r="F588" s="35"/>
    </row>
    <row r="589">
      <c r="A589" s="35"/>
      <c r="B589" s="35"/>
      <c r="C589" s="35"/>
      <c r="D589" s="35"/>
      <c r="E589" s="35"/>
      <c r="F589" s="35"/>
    </row>
    <row r="590">
      <c r="A590" s="35"/>
      <c r="B590" s="35"/>
      <c r="C590" s="35"/>
      <c r="D590" s="35"/>
      <c r="E590" s="35"/>
      <c r="F590" s="35"/>
    </row>
    <row r="591">
      <c r="A591" s="35"/>
      <c r="B591" s="35"/>
      <c r="C591" s="35"/>
      <c r="D591" s="35"/>
      <c r="E591" s="35"/>
      <c r="F591" s="35"/>
    </row>
    <row r="592">
      <c r="A592" s="35"/>
      <c r="B592" s="35"/>
      <c r="C592" s="35"/>
      <c r="D592" s="35"/>
      <c r="E592" s="35"/>
      <c r="F592" s="35"/>
    </row>
    <row r="593">
      <c r="A593" s="35"/>
      <c r="B593" s="35"/>
      <c r="C593" s="35"/>
      <c r="D593" s="35"/>
      <c r="E593" s="35"/>
      <c r="F593" s="35"/>
    </row>
    <row r="594">
      <c r="A594" s="35"/>
      <c r="B594" s="35"/>
      <c r="C594" s="35"/>
      <c r="D594" s="35"/>
      <c r="E594" s="35"/>
      <c r="F594" s="35"/>
    </row>
    <row r="595">
      <c r="A595" s="35"/>
      <c r="B595" s="35"/>
      <c r="C595" s="35"/>
      <c r="D595" s="35"/>
      <c r="E595" s="35"/>
      <c r="F595" s="35"/>
    </row>
    <row r="596">
      <c r="A596" s="35"/>
      <c r="B596" s="35"/>
      <c r="C596" s="35"/>
      <c r="D596" s="35"/>
      <c r="E596" s="35"/>
      <c r="F596" s="35"/>
    </row>
    <row r="597">
      <c r="A597" s="35"/>
      <c r="B597" s="35"/>
      <c r="C597" s="35"/>
      <c r="D597" s="35"/>
      <c r="E597" s="35"/>
      <c r="F597" s="35"/>
    </row>
    <row r="598">
      <c r="A598" s="35"/>
      <c r="B598" s="35"/>
      <c r="C598" s="35"/>
      <c r="D598" s="35"/>
      <c r="E598" s="35"/>
      <c r="F598" s="35"/>
    </row>
    <row r="599">
      <c r="A599" s="35"/>
      <c r="B599" s="35"/>
      <c r="C599" s="35"/>
      <c r="D599" s="35"/>
      <c r="E599" s="35"/>
      <c r="F599" s="35"/>
    </row>
    <row r="600">
      <c r="A600" s="35"/>
      <c r="B600" s="35"/>
      <c r="C600" s="35"/>
      <c r="D600" s="35"/>
      <c r="E600" s="35"/>
      <c r="F600" s="35"/>
    </row>
    <row r="601">
      <c r="A601" s="35"/>
      <c r="B601" s="35"/>
      <c r="C601" s="35"/>
      <c r="D601" s="35"/>
      <c r="E601" s="35"/>
      <c r="F601" s="35"/>
    </row>
    <row r="602">
      <c r="A602" s="35"/>
      <c r="B602" s="35"/>
      <c r="C602" s="35"/>
      <c r="D602" s="35"/>
      <c r="E602" s="35"/>
      <c r="F602" s="35"/>
    </row>
    <row r="603">
      <c r="A603" s="35"/>
      <c r="B603" s="35"/>
      <c r="C603" s="35"/>
      <c r="D603" s="35"/>
      <c r="E603" s="35"/>
      <c r="F603" s="35"/>
    </row>
    <row r="604">
      <c r="A604" s="35"/>
      <c r="B604" s="35"/>
      <c r="C604" s="35"/>
      <c r="D604" s="35"/>
      <c r="E604" s="35"/>
      <c r="F604" s="35"/>
    </row>
    <row r="605">
      <c r="A605" s="35"/>
      <c r="B605" s="35"/>
      <c r="C605" s="35"/>
      <c r="D605" s="35"/>
      <c r="E605" s="35"/>
      <c r="F605" s="35"/>
    </row>
    <row r="606">
      <c r="A606" s="35"/>
      <c r="B606" s="35"/>
      <c r="C606" s="35"/>
      <c r="D606" s="35"/>
      <c r="E606" s="35"/>
      <c r="F606" s="35"/>
    </row>
    <row r="607">
      <c r="A607" s="35"/>
      <c r="B607" s="35"/>
      <c r="C607" s="35"/>
      <c r="D607" s="35"/>
      <c r="E607" s="35"/>
      <c r="F607" s="35"/>
    </row>
    <row r="608">
      <c r="A608" s="35"/>
      <c r="B608" s="35"/>
      <c r="C608" s="35"/>
      <c r="D608" s="35"/>
      <c r="E608" s="35"/>
      <c r="F608" s="35"/>
    </row>
    <row r="609">
      <c r="A609" s="35"/>
      <c r="B609" s="35"/>
      <c r="C609" s="35"/>
      <c r="D609" s="35"/>
      <c r="E609" s="35"/>
      <c r="F609" s="35"/>
    </row>
    <row r="610">
      <c r="A610" s="35"/>
      <c r="B610" s="35"/>
      <c r="C610" s="35"/>
      <c r="D610" s="35"/>
      <c r="E610" s="35"/>
      <c r="F610" s="35"/>
    </row>
    <row r="611">
      <c r="A611" s="35"/>
      <c r="B611" s="35"/>
      <c r="C611" s="35"/>
      <c r="D611" s="35"/>
      <c r="E611" s="35"/>
      <c r="F611" s="35"/>
    </row>
    <row r="612">
      <c r="A612" s="35"/>
      <c r="B612" s="35"/>
      <c r="C612" s="35"/>
      <c r="D612" s="35"/>
      <c r="E612" s="35"/>
      <c r="F612" s="35"/>
    </row>
    <row r="613">
      <c r="A613" s="35"/>
      <c r="B613" s="35"/>
      <c r="C613" s="35"/>
      <c r="D613" s="35"/>
      <c r="E613" s="35"/>
      <c r="F613" s="35"/>
    </row>
    <row r="614">
      <c r="A614" s="35"/>
      <c r="B614" s="35"/>
      <c r="C614" s="35"/>
      <c r="D614" s="35"/>
      <c r="E614" s="35"/>
      <c r="F614" s="35"/>
    </row>
    <row r="615">
      <c r="A615" s="35"/>
      <c r="B615" s="35"/>
      <c r="C615" s="35"/>
      <c r="D615" s="35"/>
      <c r="E615" s="35"/>
      <c r="F615" s="35"/>
    </row>
    <row r="616">
      <c r="A616" s="35"/>
      <c r="B616" s="35"/>
      <c r="C616" s="35"/>
      <c r="D616" s="35"/>
      <c r="E616" s="35"/>
      <c r="F616" s="35"/>
    </row>
    <row r="617">
      <c r="A617" s="35"/>
      <c r="B617" s="35"/>
      <c r="C617" s="35"/>
      <c r="D617" s="35"/>
      <c r="E617" s="35"/>
      <c r="F617" s="35"/>
    </row>
    <row r="618">
      <c r="A618" s="35"/>
      <c r="B618" s="35"/>
      <c r="C618" s="35"/>
      <c r="D618" s="35"/>
      <c r="E618" s="35"/>
      <c r="F618" s="35"/>
    </row>
    <row r="619">
      <c r="A619" s="35"/>
      <c r="B619" s="35"/>
      <c r="C619" s="35"/>
      <c r="D619" s="35"/>
      <c r="E619" s="35"/>
      <c r="F619" s="35"/>
    </row>
    <row r="620">
      <c r="A620" s="35"/>
      <c r="B620" s="35"/>
      <c r="C620" s="35"/>
      <c r="D620" s="35"/>
      <c r="E620" s="35"/>
      <c r="F620" s="35"/>
    </row>
    <row r="621">
      <c r="A621" s="35"/>
      <c r="B621" s="35"/>
      <c r="C621" s="35"/>
      <c r="D621" s="35"/>
      <c r="E621" s="35"/>
      <c r="F621" s="35"/>
    </row>
    <row r="622">
      <c r="A622" s="35"/>
      <c r="B622" s="35"/>
      <c r="C622" s="35"/>
      <c r="D622" s="35"/>
      <c r="E622" s="35"/>
      <c r="F622" s="35"/>
    </row>
    <row r="623">
      <c r="A623" s="35"/>
      <c r="B623" s="35"/>
      <c r="C623" s="35"/>
      <c r="D623" s="35"/>
      <c r="E623" s="35"/>
      <c r="F623" s="35"/>
    </row>
    <row r="624">
      <c r="A624" s="35"/>
      <c r="B624" s="35"/>
      <c r="C624" s="35"/>
      <c r="D624" s="35"/>
      <c r="E624" s="35"/>
      <c r="F624" s="35"/>
    </row>
    <row r="625">
      <c r="A625" s="35"/>
      <c r="B625" s="35"/>
      <c r="C625" s="35"/>
      <c r="D625" s="35"/>
      <c r="E625" s="35"/>
      <c r="F625" s="35"/>
    </row>
    <row r="626">
      <c r="A626" s="35"/>
      <c r="B626" s="35"/>
      <c r="C626" s="35"/>
      <c r="D626" s="35"/>
      <c r="E626" s="35"/>
      <c r="F626" s="35"/>
    </row>
    <row r="627">
      <c r="A627" s="35"/>
      <c r="B627" s="35"/>
      <c r="C627" s="35"/>
      <c r="D627" s="35"/>
      <c r="E627" s="35"/>
      <c r="F627" s="35"/>
    </row>
    <row r="628">
      <c r="A628" s="35"/>
      <c r="B628" s="35"/>
      <c r="C628" s="35"/>
      <c r="D628" s="35"/>
      <c r="E628" s="35"/>
      <c r="F628" s="35"/>
    </row>
    <row r="629">
      <c r="A629" s="35"/>
      <c r="B629" s="35"/>
      <c r="C629" s="35"/>
      <c r="D629" s="35"/>
      <c r="E629" s="35"/>
      <c r="F629" s="35"/>
    </row>
    <row r="630">
      <c r="A630" s="35"/>
      <c r="B630" s="35"/>
      <c r="C630" s="35"/>
      <c r="D630" s="35"/>
      <c r="E630" s="35"/>
      <c r="F630" s="35"/>
    </row>
    <row r="631">
      <c r="A631" s="35"/>
      <c r="B631" s="35"/>
      <c r="C631" s="35"/>
      <c r="D631" s="35"/>
      <c r="E631" s="35"/>
      <c r="F631" s="35"/>
    </row>
    <row r="632">
      <c r="A632" s="35"/>
      <c r="B632" s="35"/>
      <c r="C632" s="35"/>
      <c r="D632" s="35"/>
      <c r="E632" s="35"/>
      <c r="F632" s="35"/>
    </row>
    <row r="633">
      <c r="A633" s="35"/>
      <c r="B633" s="35"/>
      <c r="C633" s="35"/>
      <c r="D633" s="35"/>
      <c r="E633" s="35"/>
      <c r="F633" s="35"/>
    </row>
    <row r="634">
      <c r="A634" s="35"/>
      <c r="B634" s="35"/>
      <c r="C634" s="35"/>
      <c r="D634" s="35"/>
      <c r="E634" s="35"/>
      <c r="F634" s="35"/>
    </row>
    <row r="635">
      <c r="A635" s="35"/>
      <c r="B635" s="35"/>
      <c r="C635" s="35"/>
      <c r="D635" s="35"/>
      <c r="E635" s="35"/>
      <c r="F635" s="35"/>
    </row>
    <row r="636">
      <c r="A636" s="35"/>
      <c r="B636" s="35"/>
      <c r="C636" s="35"/>
      <c r="D636" s="35"/>
      <c r="E636" s="35"/>
      <c r="F636" s="35"/>
    </row>
    <row r="637">
      <c r="A637" s="35"/>
      <c r="B637" s="35"/>
      <c r="C637" s="35"/>
      <c r="D637" s="35"/>
      <c r="E637" s="35"/>
      <c r="F637" s="35"/>
    </row>
    <row r="638">
      <c r="A638" s="35"/>
      <c r="B638" s="35"/>
      <c r="C638" s="35"/>
      <c r="D638" s="35"/>
      <c r="E638" s="35"/>
      <c r="F638" s="35"/>
    </row>
    <row r="639">
      <c r="A639" s="35"/>
      <c r="B639" s="35"/>
      <c r="C639" s="35"/>
      <c r="D639" s="35"/>
      <c r="E639" s="35"/>
      <c r="F639" s="35"/>
    </row>
    <row r="640">
      <c r="A640" s="35"/>
      <c r="B640" s="35"/>
      <c r="C640" s="35"/>
      <c r="D640" s="35"/>
      <c r="E640" s="35"/>
      <c r="F640" s="35"/>
    </row>
    <row r="641">
      <c r="A641" s="35"/>
      <c r="B641" s="35"/>
      <c r="C641" s="35"/>
      <c r="D641" s="35"/>
      <c r="E641" s="35"/>
      <c r="F641" s="35"/>
    </row>
    <row r="642">
      <c r="A642" s="35"/>
      <c r="B642" s="35"/>
      <c r="C642" s="35"/>
      <c r="D642" s="35"/>
      <c r="E642" s="35"/>
      <c r="F642" s="35"/>
    </row>
    <row r="643">
      <c r="A643" s="35"/>
      <c r="B643" s="35"/>
      <c r="C643" s="35"/>
      <c r="D643" s="35"/>
      <c r="E643" s="35"/>
      <c r="F643" s="35"/>
    </row>
    <row r="644">
      <c r="A644" s="35"/>
      <c r="B644" s="35"/>
      <c r="C644" s="35"/>
      <c r="D644" s="35"/>
      <c r="E644" s="35"/>
      <c r="F644" s="35"/>
    </row>
    <row r="645">
      <c r="A645" s="35"/>
      <c r="B645" s="35"/>
      <c r="C645" s="35"/>
      <c r="D645" s="35"/>
      <c r="E645" s="35"/>
      <c r="F645" s="35"/>
    </row>
    <row r="646">
      <c r="A646" s="35"/>
      <c r="B646" s="35"/>
      <c r="C646" s="35"/>
      <c r="D646" s="35"/>
      <c r="E646" s="35"/>
      <c r="F646" s="35"/>
    </row>
    <row r="647">
      <c r="A647" s="35"/>
      <c r="B647" s="35"/>
      <c r="C647" s="35"/>
      <c r="D647" s="35"/>
      <c r="E647" s="35"/>
      <c r="F647" s="35"/>
    </row>
    <row r="648">
      <c r="A648" s="35"/>
      <c r="B648" s="35"/>
      <c r="C648" s="35"/>
      <c r="D648" s="35"/>
      <c r="E648" s="35"/>
      <c r="F648" s="35"/>
    </row>
    <row r="649">
      <c r="A649" s="35"/>
      <c r="B649" s="35"/>
      <c r="C649" s="35"/>
      <c r="D649" s="35"/>
      <c r="E649" s="35"/>
      <c r="F649" s="35"/>
    </row>
    <row r="650">
      <c r="A650" s="35"/>
      <c r="B650" s="35"/>
      <c r="C650" s="35"/>
      <c r="D650" s="35"/>
      <c r="E650" s="35"/>
      <c r="F650" s="35"/>
    </row>
    <row r="651">
      <c r="A651" s="35"/>
      <c r="B651" s="35"/>
      <c r="C651" s="35"/>
      <c r="D651" s="35"/>
      <c r="E651" s="35"/>
      <c r="F651" s="35"/>
    </row>
    <row r="652">
      <c r="A652" s="35"/>
      <c r="B652" s="35"/>
      <c r="C652" s="35"/>
      <c r="D652" s="35"/>
      <c r="E652" s="35"/>
      <c r="F652" s="35"/>
    </row>
    <row r="653">
      <c r="A653" s="35"/>
      <c r="B653" s="35"/>
      <c r="C653" s="35"/>
      <c r="D653" s="35"/>
      <c r="E653" s="35"/>
      <c r="F653" s="35"/>
    </row>
    <row r="654">
      <c r="A654" s="35"/>
      <c r="B654" s="35"/>
      <c r="C654" s="35"/>
      <c r="D654" s="35"/>
      <c r="E654" s="35"/>
      <c r="F654" s="35"/>
    </row>
    <row r="655">
      <c r="A655" s="35"/>
      <c r="B655" s="35"/>
      <c r="C655" s="35"/>
      <c r="D655" s="35"/>
      <c r="E655" s="35"/>
      <c r="F655" s="35"/>
    </row>
    <row r="656">
      <c r="A656" s="35"/>
      <c r="B656" s="35"/>
      <c r="C656" s="35"/>
      <c r="D656" s="35"/>
      <c r="E656" s="35"/>
      <c r="F656" s="35"/>
    </row>
    <row r="657">
      <c r="A657" s="35"/>
      <c r="B657" s="35"/>
      <c r="C657" s="35"/>
      <c r="D657" s="35"/>
      <c r="E657" s="35"/>
      <c r="F657" s="35"/>
    </row>
    <row r="658">
      <c r="A658" s="35"/>
      <c r="B658" s="35"/>
      <c r="C658" s="35"/>
      <c r="D658" s="35"/>
      <c r="E658" s="35"/>
      <c r="F658" s="35"/>
    </row>
    <row r="659">
      <c r="A659" s="35"/>
      <c r="B659" s="35"/>
      <c r="C659" s="35"/>
      <c r="D659" s="35"/>
      <c r="E659" s="35"/>
      <c r="F659" s="35"/>
    </row>
    <row r="660">
      <c r="A660" s="35"/>
      <c r="B660" s="35"/>
      <c r="C660" s="35"/>
      <c r="D660" s="35"/>
      <c r="E660" s="35"/>
      <c r="F660" s="35"/>
    </row>
    <row r="661">
      <c r="A661" s="35"/>
      <c r="B661" s="35"/>
      <c r="C661" s="35"/>
      <c r="D661" s="35"/>
      <c r="E661" s="35"/>
      <c r="F661" s="35"/>
    </row>
    <row r="662">
      <c r="A662" s="35"/>
      <c r="B662" s="35"/>
      <c r="C662" s="35"/>
      <c r="D662" s="35"/>
      <c r="E662" s="35"/>
      <c r="F662" s="35"/>
    </row>
    <row r="663">
      <c r="A663" s="35"/>
      <c r="B663" s="35"/>
      <c r="C663" s="35"/>
      <c r="D663" s="35"/>
      <c r="E663" s="35"/>
      <c r="F663" s="35"/>
    </row>
    <row r="664">
      <c r="A664" s="35"/>
      <c r="B664" s="35"/>
      <c r="C664" s="35"/>
      <c r="D664" s="35"/>
      <c r="E664" s="35"/>
      <c r="F664" s="35"/>
    </row>
    <row r="665">
      <c r="A665" s="35"/>
      <c r="B665" s="35"/>
      <c r="C665" s="35"/>
      <c r="D665" s="35"/>
      <c r="E665" s="35"/>
      <c r="F665" s="35"/>
    </row>
    <row r="666">
      <c r="A666" s="35"/>
      <c r="B666" s="35"/>
      <c r="C666" s="35"/>
      <c r="D666" s="35"/>
      <c r="E666" s="35"/>
      <c r="F666" s="35"/>
    </row>
    <row r="667">
      <c r="A667" s="35"/>
      <c r="B667" s="35"/>
      <c r="C667" s="35"/>
      <c r="D667" s="35"/>
      <c r="E667" s="35"/>
      <c r="F667" s="35"/>
    </row>
    <row r="668">
      <c r="A668" s="35"/>
      <c r="B668" s="35"/>
      <c r="C668" s="35"/>
      <c r="D668" s="35"/>
      <c r="E668" s="35"/>
      <c r="F668" s="35"/>
    </row>
    <row r="669">
      <c r="A669" s="35"/>
      <c r="B669" s="35"/>
      <c r="C669" s="35"/>
      <c r="D669" s="35"/>
      <c r="E669" s="35"/>
      <c r="F669" s="35"/>
    </row>
    <row r="670">
      <c r="A670" s="35"/>
      <c r="B670" s="35"/>
      <c r="C670" s="35"/>
      <c r="D670" s="35"/>
      <c r="E670" s="35"/>
      <c r="F670" s="35"/>
    </row>
    <row r="671">
      <c r="A671" s="35"/>
      <c r="B671" s="35"/>
      <c r="C671" s="35"/>
      <c r="D671" s="35"/>
      <c r="E671" s="35"/>
      <c r="F671" s="35"/>
    </row>
    <row r="672">
      <c r="A672" s="35"/>
      <c r="B672" s="35"/>
      <c r="C672" s="35"/>
      <c r="D672" s="35"/>
      <c r="E672" s="35"/>
      <c r="F672" s="35"/>
    </row>
    <row r="673">
      <c r="A673" s="35"/>
      <c r="B673" s="35"/>
      <c r="C673" s="35"/>
      <c r="D673" s="35"/>
      <c r="E673" s="35"/>
      <c r="F673" s="35"/>
    </row>
    <row r="674">
      <c r="A674" s="35"/>
      <c r="B674" s="35"/>
      <c r="C674" s="35"/>
      <c r="D674" s="35"/>
      <c r="E674" s="35"/>
      <c r="F674" s="35"/>
    </row>
    <row r="675">
      <c r="A675" s="35"/>
      <c r="B675" s="35"/>
      <c r="C675" s="35"/>
      <c r="D675" s="35"/>
      <c r="E675" s="35"/>
      <c r="F675" s="35"/>
    </row>
    <row r="676">
      <c r="A676" s="35"/>
      <c r="B676" s="35"/>
      <c r="C676" s="35"/>
      <c r="D676" s="35"/>
      <c r="E676" s="35"/>
      <c r="F676" s="35"/>
    </row>
    <row r="677">
      <c r="A677" s="35"/>
      <c r="B677" s="35"/>
      <c r="C677" s="35"/>
      <c r="D677" s="35"/>
      <c r="E677" s="35"/>
      <c r="F677" s="35"/>
    </row>
    <row r="678">
      <c r="A678" s="35"/>
      <c r="B678" s="35"/>
      <c r="C678" s="35"/>
      <c r="D678" s="35"/>
      <c r="E678" s="35"/>
      <c r="F678" s="35"/>
    </row>
    <row r="679">
      <c r="A679" s="35"/>
      <c r="B679" s="35"/>
      <c r="C679" s="35"/>
      <c r="D679" s="35"/>
      <c r="E679" s="35"/>
      <c r="F679" s="35"/>
    </row>
    <row r="680">
      <c r="A680" s="35"/>
      <c r="B680" s="35"/>
      <c r="C680" s="35"/>
      <c r="D680" s="35"/>
      <c r="E680" s="35"/>
      <c r="F680" s="35"/>
    </row>
    <row r="681">
      <c r="A681" s="35"/>
      <c r="B681" s="35"/>
      <c r="C681" s="35"/>
      <c r="D681" s="35"/>
      <c r="E681" s="35"/>
      <c r="F681" s="35"/>
    </row>
    <row r="682">
      <c r="A682" s="35"/>
      <c r="B682" s="35"/>
      <c r="C682" s="35"/>
      <c r="D682" s="35"/>
      <c r="E682" s="35"/>
      <c r="F682" s="35"/>
    </row>
    <row r="683">
      <c r="A683" s="35"/>
      <c r="B683" s="35"/>
      <c r="C683" s="35"/>
      <c r="D683" s="35"/>
      <c r="E683" s="35"/>
      <c r="F683" s="35"/>
    </row>
    <row r="684">
      <c r="A684" s="35"/>
      <c r="B684" s="35"/>
      <c r="C684" s="35"/>
      <c r="D684" s="35"/>
      <c r="E684" s="35"/>
      <c r="F684" s="35"/>
    </row>
    <row r="685">
      <c r="A685" s="35"/>
      <c r="B685" s="35"/>
      <c r="C685" s="35"/>
      <c r="D685" s="35"/>
      <c r="E685" s="35"/>
      <c r="F685" s="35"/>
    </row>
    <row r="686">
      <c r="A686" s="35"/>
      <c r="B686" s="35"/>
      <c r="C686" s="35"/>
      <c r="D686" s="35"/>
      <c r="E686" s="35"/>
      <c r="F686" s="35"/>
    </row>
    <row r="687">
      <c r="A687" s="35"/>
      <c r="B687" s="35"/>
      <c r="C687" s="35"/>
      <c r="D687" s="35"/>
      <c r="E687" s="35"/>
      <c r="F687" s="35"/>
    </row>
    <row r="688">
      <c r="A688" s="35"/>
      <c r="B688" s="35"/>
      <c r="C688" s="35"/>
      <c r="D688" s="35"/>
      <c r="E688" s="35"/>
      <c r="F688" s="35"/>
    </row>
    <row r="689">
      <c r="A689" s="35"/>
      <c r="B689" s="35"/>
      <c r="C689" s="35"/>
      <c r="D689" s="35"/>
      <c r="E689" s="35"/>
      <c r="F689" s="35"/>
    </row>
    <row r="690">
      <c r="A690" s="35"/>
      <c r="B690" s="35"/>
      <c r="C690" s="35"/>
      <c r="D690" s="35"/>
      <c r="E690" s="35"/>
      <c r="F690" s="35"/>
    </row>
    <row r="691">
      <c r="A691" s="35"/>
      <c r="B691" s="35"/>
      <c r="C691" s="35"/>
      <c r="D691" s="35"/>
      <c r="E691" s="35"/>
      <c r="F691" s="35"/>
    </row>
    <row r="692">
      <c r="A692" s="35"/>
      <c r="B692" s="35"/>
      <c r="C692" s="35"/>
      <c r="D692" s="35"/>
      <c r="E692" s="35"/>
      <c r="F692" s="35"/>
    </row>
    <row r="693">
      <c r="A693" s="35"/>
      <c r="B693" s="35"/>
      <c r="C693" s="35"/>
      <c r="D693" s="35"/>
      <c r="E693" s="35"/>
      <c r="F693" s="35"/>
    </row>
    <row r="694">
      <c r="A694" s="35"/>
      <c r="B694" s="35"/>
      <c r="C694" s="35"/>
      <c r="D694" s="35"/>
      <c r="E694" s="35"/>
      <c r="F694" s="35"/>
    </row>
    <row r="695">
      <c r="A695" s="35"/>
      <c r="B695" s="35"/>
      <c r="C695" s="35"/>
      <c r="D695" s="35"/>
      <c r="E695" s="35"/>
      <c r="F695" s="35"/>
    </row>
    <row r="696">
      <c r="A696" s="35"/>
      <c r="B696" s="35"/>
      <c r="C696" s="35"/>
      <c r="D696" s="35"/>
      <c r="E696" s="35"/>
      <c r="F696" s="35"/>
    </row>
    <row r="697">
      <c r="A697" s="35"/>
      <c r="B697" s="35"/>
      <c r="C697" s="35"/>
      <c r="D697" s="35"/>
      <c r="E697" s="35"/>
      <c r="F697" s="35"/>
    </row>
    <row r="698">
      <c r="A698" s="35"/>
      <c r="B698" s="35"/>
      <c r="C698" s="35"/>
      <c r="D698" s="35"/>
      <c r="E698" s="35"/>
      <c r="F698" s="35"/>
    </row>
    <row r="699">
      <c r="A699" s="35"/>
      <c r="B699" s="35"/>
      <c r="C699" s="35"/>
      <c r="D699" s="35"/>
      <c r="E699" s="35"/>
      <c r="F699" s="35"/>
    </row>
    <row r="700">
      <c r="A700" s="35"/>
      <c r="B700" s="35"/>
      <c r="C700" s="35"/>
      <c r="D700" s="35"/>
      <c r="E700" s="35"/>
      <c r="F700" s="35"/>
    </row>
    <row r="701">
      <c r="A701" s="35"/>
      <c r="B701" s="35"/>
      <c r="C701" s="35"/>
      <c r="D701" s="35"/>
      <c r="E701" s="35"/>
      <c r="F701" s="35"/>
    </row>
    <row r="702">
      <c r="A702" s="35"/>
      <c r="B702" s="35"/>
      <c r="C702" s="35"/>
      <c r="D702" s="35"/>
      <c r="E702" s="35"/>
      <c r="F702" s="35"/>
    </row>
    <row r="703">
      <c r="A703" s="35"/>
      <c r="B703" s="35"/>
      <c r="C703" s="35"/>
      <c r="D703" s="35"/>
      <c r="E703" s="35"/>
      <c r="F703" s="35"/>
    </row>
    <row r="704">
      <c r="A704" s="35"/>
      <c r="B704" s="35"/>
      <c r="C704" s="35"/>
      <c r="D704" s="35"/>
      <c r="E704" s="35"/>
      <c r="F704" s="35"/>
    </row>
    <row r="705">
      <c r="A705" s="35"/>
      <c r="B705" s="35"/>
      <c r="C705" s="35"/>
      <c r="D705" s="35"/>
      <c r="E705" s="35"/>
      <c r="F705" s="35"/>
    </row>
    <row r="706">
      <c r="A706" s="35"/>
      <c r="B706" s="35"/>
      <c r="C706" s="35"/>
      <c r="D706" s="35"/>
      <c r="E706" s="35"/>
      <c r="F706" s="35"/>
    </row>
    <row r="707">
      <c r="A707" s="35"/>
      <c r="B707" s="35"/>
      <c r="C707" s="35"/>
      <c r="D707" s="35"/>
      <c r="E707" s="35"/>
      <c r="F707" s="35"/>
    </row>
    <row r="708">
      <c r="A708" s="35"/>
      <c r="B708" s="35"/>
      <c r="C708" s="35"/>
      <c r="D708" s="35"/>
      <c r="E708" s="35"/>
      <c r="F708" s="35"/>
    </row>
    <row r="709">
      <c r="A709" s="35"/>
      <c r="B709" s="35"/>
      <c r="C709" s="35"/>
      <c r="D709" s="35"/>
      <c r="E709" s="35"/>
      <c r="F709" s="35"/>
    </row>
    <row r="710">
      <c r="A710" s="35"/>
      <c r="B710" s="35"/>
      <c r="C710" s="35"/>
      <c r="D710" s="35"/>
      <c r="E710" s="35"/>
      <c r="F710" s="35"/>
    </row>
    <row r="711">
      <c r="A711" s="35"/>
      <c r="B711" s="35"/>
      <c r="C711" s="35"/>
      <c r="D711" s="35"/>
      <c r="E711" s="35"/>
      <c r="F711" s="35"/>
    </row>
    <row r="712">
      <c r="A712" s="35"/>
      <c r="B712" s="35"/>
      <c r="C712" s="35"/>
      <c r="D712" s="35"/>
      <c r="E712" s="35"/>
      <c r="F712" s="35"/>
    </row>
    <row r="713">
      <c r="A713" s="35"/>
      <c r="B713" s="35"/>
      <c r="C713" s="35"/>
      <c r="D713" s="35"/>
      <c r="E713" s="35"/>
      <c r="F713" s="35"/>
    </row>
    <row r="714">
      <c r="A714" s="35"/>
      <c r="B714" s="35"/>
      <c r="C714" s="35"/>
      <c r="D714" s="35"/>
      <c r="E714" s="35"/>
      <c r="F714" s="35"/>
    </row>
    <row r="715">
      <c r="A715" s="35"/>
      <c r="B715" s="35"/>
      <c r="C715" s="35"/>
      <c r="D715" s="35"/>
      <c r="E715" s="35"/>
      <c r="F715" s="35"/>
    </row>
    <row r="716">
      <c r="A716" s="35"/>
      <c r="B716" s="35"/>
      <c r="C716" s="35"/>
      <c r="D716" s="35"/>
      <c r="E716" s="35"/>
      <c r="F716" s="35"/>
    </row>
    <row r="717">
      <c r="A717" s="35"/>
      <c r="B717" s="35"/>
      <c r="C717" s="35"/>
      <c r="D717" s="35"/>
      <c r="E717" s="35"/>
      <c r="F717" s="35"/>
    </row>
    <row r="718">
      <c r="A718" s="35"/>
      <c r="B718" s="35"/>
      <c r="C718" s="35"/>
      <c r="D718" s="35"/>
      <c r="E718" s="35"/>
      <c r="F718" s="35"/>
    </row>
    <row r="719">
      <c r="A719" s="35"/>
      <c r="B719" s="35"/>
      <c r="C719" s="35"/>
      <c r="D719" s="35"/>
      <c r="E719" s="35"/>
      <c r="F719" s="35"/>
    </row>
    <row r="720">
      <c r="A720" s="35"/>
      <c r="B720" s="35"/>
      <c r="C720" s="35"/>
      <c r="D720" s="35"/>
      <c r="E720" s="35"/>
      <c r="F720" s="35"/>
    </row>
    <row r="721">
      <c r="A721" s="35"/>
      <c r="B721" s="35"/>
      <c r="C721" s="35"/>
      <c r="D721" s="35"/>
      <c r="E721" s="35"/>
      <c r="F721" s="35"/>
    </row>
    <row r="722">
      <c r="A722" s="35"/>
      <c r="B722" s="35"/>
      <c r="C722" s="35"/>
      <c r="D722" s="35"/>
      <c r="E722" s="35"/>
      <c r="F722" s="35"/>
    </row>
    <row r="723">
      <c r="A723" s="35"/>
      <c r="B723" s="35"/>
      <c r="C723" s="35"/>
      <c r="D723" s="35"/>
      <c r="E723" s="35"/>
      <c r="F723" s="35"/>
    </row>
    <row r="724">
      <c r="A724" s="35"/>
      <c r="B724" s="35"/>
      <c r="C724" s="35"/>
      <c r="D724" s="35"/>
      <c r="E724" s="35"/>
      <c r="F724" s="35"/>
    </row>
    <row r="725">
      <c r="A725" s="35"/>
      <c r="B725" s="35"/>
      <c r="C725" s="35"/>
      <c r="D725" s="35"/>
      <c r="E725" s="35"/>
      <c r="F725" s="35"/>
    </row>
    <row r="726">
      <c r="A726" s="35"/>
      <c r="B726" s="35"/>
      <c r="C726" s="35"/>
      <c r="D726" s="35"/>
      <c r="E726" s="35"/>
      <c r="F726" s="35"/>
    </row>
    <row r="727">
      <c r="A727" s="35"/>
      <c r="B727" s="35"/>
      <c r="C727" s="35"/>
      <c r="D727" s="35"/>
      <c r="E727" s="35"/>
      <c r="F727" s="35"/>
    </row>
    <row r="728">
      <c r="A728" s="35"/>
      <c r="B728" s="35"/>
      <c r="C728" s="35"/>
      <c r="D728" s="35"/>
      <c r="E728" s="35"/>
      <c r="F728" s="35"/>
    </row>
    <row r="729">
      <c r="A729" s="35"/>
      <c r="B729" s="35"/>
      <c r="C729" s="35"/>
      <c r="D729" s="35"/>
      <c r="E729" s="35"/>
      <c r="F729" s="35"/>
    </row>
    <row r="730">
      <c r="A730" s="35"/>
      <c r="B730" s="35"/>
      <c r="C730" s="35"/>
      <c r="D730" s="35"/>
      <c r="E730" s="35"/>
      <c r="F730" s="35"/>
    </row>
    <row r="731">
      <c r="A731" s="35"/>
      <c r="B731" s="35"/>
      <c r="C731" s="35"/>
      <c r="D731" s="35"/>
      <c r="E731" s="35"/>
      <c r="F731" s="35"/>
    </row>
    <row r="732">
      <c r="A732" s="35"/>
      <c r="B732" s="35"/>
      <c r="C732" s="35"/>
      <c r="D732" s="35"/>
      <c r="E732" s="35"/>
      <c r="F732" s="35"/>
    </row>
    <row r="733">
      <c r="A733" s="35"/>
      <c r="B733" s="35"/>
      <c r="C733" s="35"/>
      <c r="D733" s="35"/>
      <c r="E733" s="35"/>
      <c r="F733" s="35"/>
    </row>
    <row r="734">
      <c r="A734" s="35"/>
      <c r="B734" s="35"/>
      <c r="C734" s="35"/>
      <c r="D734" s="35"/>
      <c r="E734" s="35"/>
      <c r="F734" s="35"/>
    </row>
    <row r="735">
      <c r="A735" s="35"/>
      <c r="B735" s="35"/>
      <c r="C735" s="35"/>
      <c r="D735" s="35"/>
      <c r="E735" s="35"/>
      <c r="F735" s="35"/>
    </row>
    <row r="736">
      <c r="A736" s="35"/>
      <c r="B736" s="35"/>
      <c r="C736" s="35"/>
      <c r="D736" s="35"/>
      <c r="E736" s="35"/>
      <c r="F736" s="35"/>
    </row>
    <row r="737">
      <c r="A737" s="35"/>
      <c r="B737" s="35"/>
      <c r="C737" s="35"/>
      <c r="D737" s="35"/>
      <c r="E737" s="35"/>
      <c r="F737" s="35"/>
    </row>
    <row r="738">
      <c r="A738" s="35"/>
      <c r="B738" s="35"/>
      <c r="C738" s="35"/>
      <c r="D738" s="35"/>
      <c r="E738" s="35"/>
      <c r="F738" s="35"/>
    </row>
    <row r="739">
      <c r="A739" s="35"/>
      <c r="B739" s="35"/>
      <c r="C739" s="35"/>
      <c r="D739" s="35"/>
      <c r="E739" s="35"/>
      <c r="F739" s="35"/>
    </row>
    <row r="740">
      <c r="A740" s="35"/>
      <c r="B740" s="35"/>
      <c r="C740" s="35"/>
      <c r="D740" s="35"/>
      <c r="E740" s="35"/>
      <c r="F740" s="35"/>
    </row>
    <row r="741">
      <c r="A741" s="35"/>
      <c r="B741" s="35"/>
      <c r="C741" s="35"/>
      <c r="D741" s="35"/>
      <c r="E741" s="35"/>
      <c r="F741" s="35"/>
    </row>
    <row r="742">
      <c r="A742" s="35"/>
      <c r="B742" s="35"/>
      <c r="C742" s="35"/>
      <c r="D742" s="35"/>
      <c r="E742" s="35"/>
      <c r="F742" s="35"/>
    </row>
    <row r="743">
      <c r="A743" s="35"/>
      <c r="B743" s="35"/>
      <c r="C743" s="35"/>
      <c r="D743" s="35"/>
      <c r="E743" s="35"/>
      <c r="F743" s="35"/>
    </row>
    <row r="744">
      <c r="A744" s="35"/>
      <c r="B744" s="35"/>
      <c r="C744" s="35"/>
      <c r="D744" s="35"/>
      <c r="E744" s="35"/>
      <c r="F744" s="35"/>
    </row>
    <row r="745">
      <c r="A745" s="35"/>
      <c r="B745" s="35"/>
      <c r="C745" s="35"/>
      <c r="D745" s="35"/>
      <c r="E745" s="35"/>
      <c r="F745" s="35"/>
    </row>
    <row r="746">
      <c r="A746" s="35"/>
      <c r="B746" s="35"/>
      <c r="C746" s="35"/>
      <c r="D746" s="35"/>
      <c r="E746" s="35"/>
      <c r="F746" s="35"/>
    </row>
    <row r="747">
      <c r="A747" s="35"/>
      <c r="B747" s="35"/>
      <c r="C747" s="35"/>
      <c r="D747" s="35"/>
      <c r="E747" s="35"/>
      <c r="F747" s="35"/>
    </row>
    <row r="748">
      <c r="A748" s="35"/>
      <c r="B748" s="35"/>
      <c r="C748" s="35"/>
      <c r="D748" s="35"/>
      <c r="E748" s="35"/>
      <c r="F748" s="35"/>
    </row>
    <row r="749">
      <c r="A749" s="35"/>
      <c r="B749" s="35"/>
      <c r="C749" s="35"/>
      <c r="D749" s="35"/>
      <c r="E749" s="35"/>
      <c r="F749" s="35"/>
    </row>
    <row r="750">
      <c r="A750" s="35"/>
      <c r="B750" s="35"/>
      <c r="C750" s="35"/>
      <c r="D750" s="35"/>
      <c r="E750" s="35"/>
      <c r="F750" s="35"/>
    </row>
    <row r="751">
      <c r="A751" s="35"/>
      <c r="B751" s="35"/>
      <c r="C751" s="35"/>
      <c r="D751" s="35"/>
      <c r="E751" s="35"/>
      <c r="F751" s="35"/>
    </row>
    <row r="752">
      <c r="A752" s="35"/>
      <c r="B752" s="35"/>
      <c r="C752" s="35"/>
      <c r="D752" s="35"/>
      <c r="E752" s="35"/>
      <c r="F752" s="35"/>
    </row>
    <row r="753">
      <c r="A753" s="35"/>
      <c r="B753" s="35"/>
      <c r="C753" s="35"/>
      <c r="D753" s="35"/>
      <c r="E753" s="35"/>
      <c r="F753" s="35"/>
    </row>
    <row r="754">
      <c r="A754" s="35"/>
      <c r="B754" s="35"/>
      <c r="C754" s="35"/>
      <c r="D754" s="35"/>
      <c r="E754" s="35"/>
      <c r="F754" s="35"/>
    </row>
    <row r="755">
      <c r="A755" s="35"/>
      <c r="B755" s="35"/>
      <c r="C755" s="35"/>
      <c r="D755" s="35"/>
      <c r="E755" s="35"/>
      <c r="F755" s="35"/>
    </row>
    <row r="756">
      <c r="A756" s="35"/>
      <c r="B756" s="35"/>
      <c r="C756" s="35"/>
      <c r="D756" s="35"/>
      <c r="E756" s="35"/>
      <c r="F756" s="35"/>
    </row>
    <row r="757">
      <c r="A757" s="35"/>
      <c r="B757" s="35"/>
      <c r="C757" s="35"/>
      <c r="D757" s="35"/>
      <c r="E757" s="35"/>
      <c r="F757" s="35"/>
    </row>
    <row r="758">
      <c r="A758" s="35"/>
      <c r="B758" s="35"/>
      <c r="C758" s="35"/>
      <c r="D758" s="35"/>
      <c r="E758" s="35"/>
      <c r="F758" s="35"/>
    </row>
    <row r="759">
      <c r="A759" s="35"/>
      <c r="B759" s="35"/>
      <c r="C759" s="35"/>
      <c r="D759" s="35"/>
      <c r="E759" s="35"/>
      <c r="F759" s="35"/>
    </row>
    <row r="760">
      <c r="A760" s="35"/>
      <c r="B760" s="35"/>
      <c r="C760" s="35"/>
      <c r="D760" s="35"/>
      <c r="E760" s="35"/>
      <c r="F760" s="35"/>
    </row>
    <row r="761">
      <c r="A761" s="35"/>
      <c r="B761" s="35"/>
      <c r="C761" s="35"/>
      <c r="D761" s="35"/>
      <c r="E761" s="35"/>
      <c r="F761" s="35"/>
    </row>
    <row r="762">
      <c r="A762" s="35"/>
      <c r="B762" s="35"/>
      <c r="C762" s="35"/>
      <c r="D762" s="35"/>
      <c r="E762" s="35"/>
      <c r="F762" s="35"/>
    </row>
    <row r="763">
      <c r="A763" s="35"/>
      <c r="B763" s="35"/>
      <c r="C763" s="35"/>
      <c r="D763" s="35"/>
      <c r="E763" s="35"/>
      <c r="F763" s="35"/>
    </row>
    <row r="764">
      <c r="A764" s="35"/>
      <c r="B764" s="35"/>
      <c r="C764" s="35"/>
      <c r="D764" s="35"/>
      <c r="E764" s="35"/>
      <c r="F764" s="35"/>
    </row>
    <row r="765">
      <c r="A765" s="35"/>
      <c r="B765" s="35"/>
      <c r="C765" s="35"/>
      <c r="D765" s="35"/>
      <c r="E765" s="35"/>
      <c r="F765" s="35"/>
    </row>
    <row r="766">
      <c r="A766" s="35"/>
      <c r="B766" s="35"/>
      <c r="C766" s="35"/>
      <c r="D766" s="35"/>
      <c r="E766" s="35"/>
      <c r="F766" s="35"/>
    </row>
    <row r="767">
      <c r="A767" s="35"/>
      <c r="B767" s="35"/>
      <c r="C767" s="35"/>
      <c r="D767" s="35"/>
      <c r="E767" s="35"/>
      <c r="F767" s="35"/>
    </row>
    <row r="768">
      <c r="A768" s="35"/>
      <c r="B768" s="35"/>
      <c r="C768" s="35"/>
      <c r="D768" s="35"/>
      <c r="E768" s="35"/>
      <c r="F768" s="35"/>
    </row>
    <row r="769">
      <c r="A769" s="35"/>
      <c r="B769" s="35"/>
      <c r="C769" s="35"/>
      <c r="D769" s="35"/>
      <c r="E769" s="35"/>
      <c r="F769" s="35"/>
    </row>
    <row r="770">
      <c r="A770" s="35"/>
      <c r="B770" s="35"/>
      <c r="C770" s="35"/>
      <c r="D770" s="35"/>
      <c r="E770" s="35"/>
      <c r="F770" s="35"/>
    </row>
    <row r="771">
      <c r="A771" s="35"/>
      <c r="B771" s="35"/>
      <c r="C771" s="35"/>
      <c r="D771" s="35"/>
      <c r="E771" s="35"/>
      <c r="F771" s="35"/>
    </row>
    <row r="772">
      <c r="A772" s="35"/>
      <c r="B772" s="35"/>
      <c r="C772" s="35"/>
      <c r="D772" s="35"/>
      <c r="E772" s="35"/>
      <c r="F772" s="35"/>
    </row>
    <row r="773">
      <c r="A773" s="35"/>
      <c r="B773" s="35"/>
      <c r="C773" s="35"/>
      <c r="D773" s="35"/>
      <c r="E773" s="35"/>
      <c r="F773" s="35"/>
    </row>
    <row r="774">
      <c r="A774" s="35"/>
      <c r="B774" s="35"/>
      <c r="C774" s="35"/>
      <c r="D774" s="35"/>
      <c r="E774" s="35"/>
      <c r="F774" s="35"/>
    </row>
    <row r="775">
      <c r="A775" s="35"/>
      <c r="B775" s="35"/>
      <c r="C775" s="35"/>
      <c r="D775" s="35"/>
      <c r="E775" s="35"/>
      <c r="F775" s="35"/>
    </row>
    <row r="776">
      <c r="A776" s="35"/>
      <c r="B776" s="35"/>
      <c r="C776" s="35"/>
      <c r="D776" s="35"/>
      <c r="E776" s="35"/>
      <c r="F776" s="35"/>
    </row>
    <row r="777">
      <c r="A777" s="35"/>
      <c r="B777" s="35"/>
      <c r="C777" s="35"/>
      <c r="D777" s="35"/>
      <c r="E777" s="35"/>
      <c r="F777" s="35"/>
    </row>
    <row r="778">
      <c r="A778" s="35"/>
      <c r="B778" s="35"/>
      <c r="C778" s="35"/>
      <c r="D778" s="35"/>
      <c r="E778" s="35"/>
      <c r="F778" s="35"/>
    </row>
    <row r="779">
      <c r="A779" s="35"/>
      <c r="B779" s="35"/>
      <c r="C779" s="35"/>
      <c r="D779" s="35"/>
      <c r="E779" s="35"/>
      <c r="F779" s="35"/>
    </row>
    <row r="780">
      <c r="A780" s="35"/>
      <c r="B780" s="35"/>
      <c r="C780" s="35"/>
      <c r="D780" s="35"/>
      <c r="E780" s="35"/>
      <c r="F780" s="35"/>
    </row>
    <row r="781">
      <c r="A781" s="35"/>
      <c r="B781" s="35"/>
      <c r="C781" s="35"/>
      <c r="D781" s="35"/>
      <c r="E781" s="35"/>
      <c r="F781" s="35"/>
    </row>
    <row r="782">
      <c r="A782" s="35"/>
      <c r="B782" s="35"/>
      <c r="C782" s="35"/>
      <c r="D782" s="35"/>
      <c r="E782" s="35"/>
      <c r="F782" s="35"/>
    </row>
    <row r="783">
      <c r="A783" s="35"/>
      <c r="B783" s="35"/>
      <c r="C783" s="35"/>
      <c r="D783" s="35"/>
      <c r="E783" s="35"/>
      <c r="F783" s="35"/>
    </row>
    <row r="784">
      <c r="A784" s="35"/>
      <c r="B784" s="35"/>
      <c r="C784" s="35"/>
      <c r="D784" s="35"/>
      <c r="E784" s="35"/>
      <c r="F784" s="35"/>
    </row>
    <row r="785">
      <c r="A785" s="35"/>
      <c r="B785" s="35"/>
      <c r="C785" s="35"/>
      <c r="D785" s="35"/>
      <c r="E785" s="35"/>
      <c r="F785" s="35"/>
    </row>
    <row r="786">
      <c r="A786" s="35"/>
      <c r="B786" s="35"/>
      <c r="C786" s="35"/>
      <c r="D786" s="35"/>
      <c r="E786" s="35"/>
      <c r="F786" s="35"/>
    </row>
    <row r="787">
      <c r="A787" s="35"/>
      <c r="B787" s="35"/>
      <c r="C787" s="35"/>
      <c r="D787" s="35"/>
      <c r="E787" s="35"/>
      <c r="F787" s="35"/>
    </row>
    <row r="788">
      <c r="A788" s="35"/>
      <c r="B788" s="35"/>
      <c r="C788" s="35"/>
      <c r="D788" s="35"/>
      <c r="E788" s="35"/>
      <c r="F788" s="35"/>
    </row>
    <row r="789">
      <c r="A789" s="35"/>
      <c r="B789" s="35"/>
      <c r="C789" s="35"/>
      <c r="D789" s="35"/>
      <c r="E789" s="35"/>
      <c r="F789" s="35"/>
    </row>
    <row r="790">
      <c r="A790" s="35"/>
      <c r="B790" s="35"/>
      <c r="C790" s="35"/>
      <c r="D790" s="35"/>
      <c r="E790" s="35"/>
      <c r="F790" s="35"/>
    </row>
    <row r="791">
      <c r="A791" s="35"/>
      <c r="B791" s="35"/>
      <c r="C791" s="35"/>
      <c r="D791" s="35"/>
      <c r="E791" s="35"/>
      <c r="F791" s="35"/>
    </row>
    <row r="792">
      <c r="A792" s="35"/>
      <c r="B792" s="35"/>
      <c r="C792" s="35"/>
      <c r="D792" s="35"/>
      <c r="E792" s="35"/>
      <c r="F792" s="35"/>
    </row>
    <row r="793">
      <c r="A793" s="35"/>
      <c r="B793" s="35"/>
      <c r="C793" s="35"/>
      <c r="D793" s="35"/>
      <c r="E793" s="35"/>
      <c r="F793" s="35"/>
    </row>
    <row r="794">
      <c r="A794" s="35"/>
      <c r="B794" s="35"/>
      <c r="C794" s="35"/>
      <c r="D794" s="35"/>
      <c r="E794" s="35"/>
      <c r="F794" s="35"/>
    </row>
    <row r="795">
      <c r="A795" s="35"/>
      <c r="B795" s="35"/>
      <c r="C795" s="35"/>
      <c r="D795" s="35"/>
      <c r="E795" s="35"/>
      <c r="F795" s="35"/>
    </row>
    <row r="796">
      <c r="A796" s="35"/>
      <c r="B796" s="35"/>
      <c r="C796" s="35"/>
      <c r="D796" s="35"/>
      <c r="E796" s="35"/>
      <c r="F796" s="35"/>
    </row>
    <row r="797">
      <c r="A797" s="35"/>
      <c r="B797" s="35"/>
      <c r="C797" s="35"/>
      <c r="D797" s="35"/>
      <c r="E797" s="35"/>
      <c r="F797" s="35"/>
    </row>
    <row r="798">
      <c r="A798" s="35"/>
      <c r="B798" s="35"/>
      <c r="C798" s="35"/>
      <c r="D798" s="35"/>
      <c r="E798" s="35"/>
      <c r="F798" s="35"/>
    </row>
    <row r="799">
      <c r="A799" s="35"/>
      <c r="B799" s="35"/>
      <c r="C799" s="35"/>
      <c r="D799" s="35"/>
      <c r="E799" s="35"/>
      <c r="F799" s="35"/>
    </row>
    <row r="800">
      <c r="A800" s="35"/>
      <c r="B800" s="35"/>
      <c r="C800" s="35"/>
      <c r="D800" s="35"/>
      <c r="E800" s="35"/>
      <c r="F800" s="35"/>
    </row>
    <row r="801">
      <c r="A801" s="35"/>
      <c r="B801" s="35"/>
      <c r="C801" s="35"/>
      <c r="D801" s="35"/>
      <c r="E801" s="35"/>
      <c r="F801" s="35"/>
    </row>
    <row r="802">
      <c r="A802" s="35"/>
      <c r="B802" s="35"/>
      <c r="C802" s="35"/>
      <c r="D802" s="35"/>
      <c r="E802" s="35"/>
      <c r="F802" s="35"/>
    </row>
    <row r="803">
      <c r="A803" s="35"/>
      <c r="B803" s="35"/>
      <c r="C803" s="35"/>
      <c r="D803" s="35"/>
      <c r="E803" s="35"/>
      <c r="F803" s="35"/>
    </row>
    <row r="804">
      <c r="A804" s="35"/>
      <c r="B804" s="35"/>
      <c r="C804" s="35"/>
      <c r="D804" s="35"/>
      <c r="E804" s="35"/>
      <c r="F804" s="35"/>
    </row>
    <row r="805">
      <c r="A805" s="35"/>
      <c r="B805" s="35"/>
      <c r="C805" s="35"/>
      <c r="D805" s="35"/>
      <c r="E805" s="35"/>
      <c r="F805" s="35"/>
    </row>
    <row r="806">
      <c r="A806" s="35"/>
      <c r="B806" s="35"/>
      <c r="C806" s="35"/>
      <c r="D806" s="35"/>
      <c r="E806" s="35"/>
      <c r="F806" s="35"/>
    </row>
    <row r="807">
      <c r="A807" s="35"/>
      <c r="B807" s="35"/>
      <c r="C807" s="35"/>
      <c r="D807" s="35"/>
      <c r="E807" s="35"/>
      <c r="F807" s="35"/>
    </row>
    <row r="808">
      <c r="A808" s="35"/>
      <c r="B808" s="35"/>
      <c r="C808" s="35"/>
      <c r="D808" s="35"/>
      <c r="E808" s="35"/>
      <c r="F808" s="35"/>
    </row>
    <row r="809">
      <c r="A809" s="35"/>
      <c r="B809" s="35"/>
      <c r="C809" s="35"/>
      <c r="D809" s="35"/>
      <c r="E809" s="35"/>
      <c r="F809" s="35"/>
    </row>
    <row r="810">
      <c r="A810" s="35"/>
      <c r="B810" s="35"/>
      <c r="C810" s="35"/>
      <c r="D810" s="35"/>
      <c r="E810" s="35"/>
      <c r="F810" s="35"/>
    </row>
    <row r="811">
      <c r="A811" s="35"/>
      <c r="B811" s="35"/>
      <c r="C811" s="35"/>
      <c r="D811" s="35"/>
      <c r="E811" s="35"/>
      <c r="F811" s="35"/>
    </row>
    <row r="812">
      <c r="A812" s="35"/>
      <c r="B812" s="35"/>
      <c r="C812" s="35"/>
      <c r="D812" s="35"/>
      <c r="E812" s="35"/>
      <c r="F812" s="35"/>
    </row>
    <row r="813">
      <c r="A813" s="35"/>
      <c r="B813" s="35"/>
      <c r="C813" s="35"/>
      <c r="D813" s="35"/>
      <c r="E813" s="35"/>
      <c r="F813" s="35"/>
    </row>
    <row r="814">
      <c r="A814" s="35"/>
      <c r="B814" s="35"/>
      <c r="C814" s="35"/>
      <c r="D814" s="35"/>
      <c r="E814" s="35"/>
      <c r="F814" s="35"/>
    </row>
    <row r="815">
      <c r="A815" s="35"/>
      <c r="B815" s="35"/>
      <c r="C815" s="35"/>
      <c r="D815" s="35"/>
      <c r="E815" s="35"/>
      <c r="F815" s="35"/>
    </row>
    <row r="816">
      <c r="A816" s="35"/>
      <c r="B816" s="35"/>
      <c r="C816" s="35"/>
      <c r="D816" s="35"/>
      <c r="E816" s="35"/>
      <c r="F816" s="35"/>
    </row>
    <row r="817">
      <c r="A817" s="35"/>
      <c r="B817" s="35"/>
      <c r="C817" s="35"/>
      <c r="D817" s="35"/>
      <c r="E817" s="35"/>
      <c r="F817" s="35"/>
    </row>
    <row r="818">
      <c r="A818" s="35"/>
      <c r="B818" s="35"/>
      <c r="C818" s="35"/>
      <c r="D818" s="35"/>
      <c r="E818" s="35"/>
      <c r="F818" s="35"/>
    </row>
    <row r="819">
      <c r="A819" s="35"/>
      <c r="B819" s="35"/>
      <c r="C819" s="35"/>
      <c r="D819" s="35"/>
      <c r="E819" s="35"/>
      <c r="F819" s="35"/>
    </row>
    <row r="820">
      <c r="A820" s="35"/>
      <c r="B820" s="35"/>
      <c r="C820" s="35"/>
      <c r="D820" s="35"/>
      <c r="E820" s="35"/>
      <c r="F820" s="35"/>
    </row>
    <row r="821">
      <c r="A821" s="35"/>
      <c r="B821" s="35"/>
      <c r="C821" s="35"/>
      <c r="D821" s="35"/>
      <c r="E821" s="35"/>
      <c r="F821" s="35"/>
    </row>
    <row r="822">
      <c r="A822" s="35"/>
      <c r="B822" s="35"/>
      <c r="C822" s="35"/>
      <c r="D822" s="35"/>
      <c r="E822" s="35"/>
      <c r="F822" s="35"/>
    </row>
    <row r="823">
      <c r="A823" s="35"/>
      <c r="B823" s="35"/>
      <c r="C823" s="35"/>
      <c r="D823" s="35"/>
      <c r="E823" s="35"/>
      <c r="F823" s="35"/>
    </row>
    <row r="824">
      <c r="A824" s="35"/>
      <c r="B824" s="35"/>
      <c r="C824" s="35"/>
      <c r="D824" s="35"/>
      <c r="E824" s="35"/>
      <c r="F824" s="35"/>
    </row>
    <row r="825">
      <c r="A825" s="35"/>
      <c r="B825" s="35"/>
      <c r="C825" s="35"/>
      <c r="D825" s="35"/>
      <c r="E825" s="35"/>
      <c r="F825" s="35"/>
    </row>
    <row r="826">
      <c r="A826" s="35"/>
      <c r="B826" s="35"/>
      <c r="C826" s="35"/>
      <c r="D826" s="35"/>
      <c r="E826" s="35"/>
      <c r="F826" s="35"/>
    </row>
    <row r="827">
      <c r="A827" s="35"/>
      <c r="B827" s="35"/>
      <c r="C827" s="35"/>
      <c r="D827" s="35"/>
      <c r="E827" s="35"/>
      <c r="F827" s="35"/>
    </row>
    <row r="828">
      <c r="A828" s="35"/>
      <c r="B828" s="35"/>
      <c r="C828" s="35"/>
      <c r="D828" s="35"/>
      <c r="E828" s="35"/>
      <c r="F828" s="35"/>
    </row>
    <row r="829">
      <c r="A829" s="35"/>
      <c r="B829" s="35"/>
      <c r="C829" s="35"/>
      <c r="D829" s="35"/>
      <c r="E829" s="35"/>
      <c r="F829" s="35"/>
    </row>
    <row r="830">
      <c r="A830" s="35"/>
      <c r="B830" s="35"/>
      <c r="C830" s="35"/>
      <c r="D830" s="35"/>
      <c r="E830" s="35"/>
      <c r="F830" s="35"/>
    </row>
    <row r="831">
      <c r="A831" s="35"/>
      <c r="B831" s="35"/>
      <c r="C831" s="35"/>
      <c r="D831" s="35"/>
      <c r="E831" s="35"/>
      <c r="F831" s="35"/>
    </row>
    <row r="832">
      <c r="A832" s="35"/>
      <c r="B832" s="35"/>
      <c r="C832" s="35"/>
      <c r="D832" s="35"/>
      <c r="E832" s="35"/>
      <c r="F832" s="35"/>
    </row>
    <row r="833">
      <c r="A833" s="35"/>
      <c r="B833" s="35"/>
      <c r="C833" s="35"/>
      <c r="D833" s="35"/>
      <c r="E833" s="35"/>
      <c r="F833" s="35"/>
    </row>
    <row r="834">
      <c r="A834" s="35"/>
      <c r="B834" s="35"/>
      <c r="C834" s="35"/>
      <c r="D834" s="35"/>
      <c r="E834" s="35"/>
      <c r="F834" s="35"/>
    </row>
    <row r="835">
      <c r="A835" s="35"/>
      <c r="B835" s="35"/>
      <c r="C835" s="35"/>
      <c r="D835" s="35"/>
      <c r="E835" s="35"/>
      <c r="F835" s="35"/>
    </row>
    <row r="836">
      <c r="A836" s="35"/>
      <c r="B836" s="35"/>
      <c r="C836" s="35"/>
      <c r="D836" s="35"/>
      <c r="E836" s="35"/>
      <c r="F836" s="35"/>
    </row>
    <row r="837">
      <c r="A837" s="35"/>
      <c r="B837" s="35"/>
      <c r="C837" s="35"/>
      <c r="D837" s="35"/>
      <c r="E837" s="35"/>
      <c r="F837" s="35"/>
    </row>
    <row r="838">
      <c r="A838" s="35"/>
      <c r="B838" s="35"/>
      <c r="C838" s="35"/>
      <c r="D838" s="35"/>
      <c r="E838" s="35"/>
      <c r="F838" s="35"/>
    </row>
    <row r="839">
      <c r="A839" s="35"/>
      <c r="B839" s="35"/>
      <c r="C839" s="35"/>
      <c r="D839" s="35"/>
      <c r="E839" s="35"/>
      <c r="F839" s="35"/>
    </row>
    <row r="840">
      <c r="A840" s="35"/>
      <c r="B840" s="35"/>
      <c r="C840" s="35"/>
      <c r="D840" s="35"/>
      <c r="E840" s="35"/>
      <c r="F840" s="35"/>
    </row>
    <row r="841">
      <c r="A841" s="35"/>
      <c r="B841" s="35"/>
      <c r="C841" s="35"/>
      <c r="D841" s="35"/>
      <c r="E841" s="35"/>
      <c r="F841" s="35"/>
    </row>
    <row r="842">
      <c r="A842" s="35"/>
      <c r="B842" s="35"/>
      <c r="C842" s="35"/>
      <c r="D842" s="35"/>
      <c r="E842" s="35"/>
      <c r="F842" s="35"/>
    </row>
    <row r="843">
      <c r="A843" s="35"/>
      <c r="B843" s="35"/>
      <c r="C843" s="35"/>
      <c r="D843" s="35"/>
      <c r="E843" s="35"/>
      <c r="F843" s="35"/>
    </row>
    <row r="844">
      <c r="A844" s="35"/>
      <c r="B844" s="35"/>
      <c r="C844" s="35"/>
      <c r="D844" s="35"/>
      <c r="E844" s="35"/>
      <c r="F844" s="35"/>
    </row>
    <row r="845">
      <c r="A845" s="35"/>
      <c r="B845" s="35"/>
      <c r="C845" s="35"/>
      <c r="D845" s="35"/>
      <c r="E845" s="35"/>
      <c r="F845" s="35"/>
    </row>
    <row r="846">
      <c r="A846" s="35"/>
      <c r="B846" s="35"/>
      <c r="C846" s="35"/>
      <c r="D846" s="35"/>
      <c r="E846" s="35"/>
      <c r="F846" s="35"/>
    </row>
    <row r="847">
      <c r="A847" s="35"/>
      <c r="B847" s="35"/>
      <c r="C847" s="35"/>
      <c r="D847" s="35"/>
      <c r="E847" s="35"/>
      <c r="F847" s="35"/>
    </row>
    <row r="848">
      <c r="A848" s="35"/>
      <c r="B848" s="35"/>
      <c r="C848" s="35"/>
      <c r="D848" s="35"/>
      <c r="E848" s="35"/>
      <c r="F848" s="35"/>
    </row>
    <row r="849">
      <c r="A849" s="35"/>
      <c r="B849" s="35"/>
      <c r="C849" s="35"/>
      <c r="D849" s="35"/>
      <c r="E849" s="35"/>
      <c r="F849" s="35"/>
    </row>
    <row r="850">
      <c r="A850" s="35"/>
      <c r="B850" s="35"/>
      <c r="C850" s="35"/>
      <c r="D850" s="35"/>
      <c r="E850" s="35"/>
      <c r="F850" s="35"/>
    </row>
    <row r="851">
      <c r="A851" s="35"/>
      <c r="B851" s="35"/>
      <c r="C851" s="35"/>
      <c r="D851" s="35"/>
      <c r="E851" s="35"/>
      <c r="F851" s="35"/>
    </row>
    <row r="852">
      <c r="A852" s="35"/>
      <c r="B852" s="35"/>
      <c r="C852" s="35"/>
      <c r="D852" s="35"/>
      <c r="E852" s="35"/>
      <c r="F852" s="35"/>
    </row>
    <row r="853">
      <c r="A853" s="35"/>
      <c r="B853" s="35"/>
      <c r="C853" s="35"/>
      <c r="D853" s="35"/>
      <c r="E853" s="35"/>
      <c r="F853" s="35"/>
    </row>
    <row r="854">
      <c r="A854" s="35"/>
      <c r="B854" s="35"/>
      <c r="C854" s="35"/>
      <c r="D854" s="35"/>
      <c r="E854" s="35"/>
      <c r="F854" s="35"/>
    </row>
    <row r="855">
      <c r="A855" s="35"/>
      <c r="B855" s="35"/>
      <c r="C855" s="35"/>
      <c r="D855" s="35"/>
      <c r="E855" s="35"/>
      <c r="F855" s="35"/>
    </row>
    <row r="856">
      <c r="A856" s="35"/>
      <c r="B856" s="35"/>
      <c r="C856" s="35"/>
      <c r="D856" s="35"/>
      <c r="E856" s="35"/>
      <c r="F856" s="35"/>
    </row>
    <row r="857">
      <c r="A857" s="35"/>
      <c r="B857" s="35"/>
      <c r="C857" s="35"/>
      <c r="D857" s="35"/>
      <c r="E857" s="35"/>
      <c r="F857" s="35"/>
    </row>
    <row r="858">
      <c r="A858" s="35"/>
      <c r="B858" s="35"/>
      <c r="C858" s="35"/>
      <c r="D858" s="35"/>
      <c r="E858" s="35"/>
      <c r="F858" s="35"/>
    </row>
    <row r="859">
      <c r="A859" s="35"/>
      <c r="B859" s="35"/>
      <c r="C859" s="35"/>
      <c r="D859" s="35"/>
      <c r="E859" s="35"/>
      <c r="F859" s="35"/>
    </row>
    <row r="860">
      <c r="A860" s="35"/>
      <c r="B860" s="35"/>
      <c r="C860" s="35"/>
      <c r="D860" s="35"/>
      <c r="E860" s="35"/>
      <c r="F860" s="35"/>
    </row>
    <row r="861">
      <c r="A861" s="35"/>
      <c r="B861" s="35"/>
      <c r="C861" s="35"/>
      <c r="D861" s="35"/>
      <c r="E861" s="35"/>
      <c r="F861" s="35"/>
    </row>
    <row r="862">
      <c r="A862" s="35"/>
      <c r="B862" s="35"/>
      <c r="C862" s="35"/>
      <c r="D862" s="35"/>
      <c r="E862" s="35"/>
      <c r="F862" s="35"/>
    </row>
    <row r="863">
      <c r="A863" s="35"/>
      <c r="B863" s="35"/>
      <c r="C863" s="35"/>
      <c r="D863" s="35"/>
      <c r="E863" s="35"/>
      <c r="F863" s="35"/>
    </row>
    <row r="864">
      <c r="A864" s="35"/>
      <c r="B864" s="35"/>
      <c r="C864" s="35"/>
      <c r="D864" s="35"/>
      <c r="E864" s="35"/>
      <c r="F864" s="35"/>
    </row>
    <row r="865">
      <c r="A865" s="35"/>
      <c r="B865" s="35"/>
      <c r="C865" s="35"/>
      <c r="D865" s="35"/>
      <c r="E865" s="35"/>
      <c r="F865" s="35"/>
    </row>
    <row r="866">
      <c r="A866" s="35"/>
      <c r="B866" s="35"/>
      <c r="C866" s="35"/>
      <c r="D866" s="35"/>
      <c r="E866" s="35"/>
      <c r="F866" s="35"/>
    </row>
    <row r="867">
      <c r="A867" s="35"/>
      <c r="B867" s="35"/>
      <c r="C867" s="35"/>
      <c r="D867" s="35"/>
      <c r="E867" s="35"/>
      <c r="F867" s="35"/>
    </row>
    <row r="868">
      <c r="A868" s="35"/>
      <c r="B868" s="35"/>
      <c r="C868" s="35"/>
      <c r="D868" s="35"/>
      <c r="E868" s="35"/>
      <c r="F868" s="35"/>
    </row>
    <row r="869">
      <c r="A869" s="35"/>
      <c r="B869" s="35"/>
      <c r="C869" s="35"/>
      <c r="D869" s="35"/>
      <c r="E869" s="35"/>
      <c r="F869" s="35"/>
    </row>
    <row r="870">
      <c r="A870" s="35"/>
      <c r="B870" s="35"/>
      <c r="C870" s="35"/>
      <c r="D870" s="35"/>
      <c r="E870" s="35"/>
      <c r="F870" s="35"/>
    </row>
    <row r="871">
      <c r="A871" s="35"/>
      <c r="B871" s="35"/>
      <c r="C871" s="35"/>
      <c r="D871" s="35"/>
      <c r="E871" s="35"/>
      <c r="F871" s="35"/>
    </row>
    <row r="872">
      <c r="A872" s="35"/>
      <c r="B872" s="35"/>
      <c r="C872" s="35"/>
      <c r="D872" s="35"/>
      <c r="E872" s="35"/>
      <c r="F872" s="35"/>
    </row>
    <row r="873">
      <c r="A873" s="35"/>
      <c r="B873" s="35"/>
      <c r="C873" s="35"/>
      <c r="D873" s="35"/>
      <c r="E873" s="35"/>
      <c r="F873" s="35"/>
    </row>
    <row r="874">
      <c r="A874" s="35"/>
      <c r="B874" s="35"/>
      <c r="C874" s="35"/>
      <c r="D874" s="35"/>
      <c r="E874" s="35"/>
      <c r="F874" s="35"/>
    </row>
    <row r="875">
      <c r="A875" s="35"/>
      <c r="B875" s="35"/>
      <c r="C875" s="35"/>
      <c r="D875" s="35"/>
      <c r="E875" s="35"/>
      <c r="F875" s="35"/>
    </row>
    <row r="876">
      <c r="A876" s="35"/>
      <c r="B876" s="35"/>
      <c r="C876" s="35"/>
      <c r="D876" s="35"/>
      <c r="E876" s="35"/>
      <c r="F876" s="35"/>
    </row>
    <row r="877">
      <c r="A877" s="35"/>
      <c r="B877" s="35"/>
      <c r="C877" s="35"/>
      <c r="D877" s="35"/>
      <c r="E877" s="35"/>
      <c r="F877" s="35"/>
    </row>
    <row r="878">
      <c r="A878" s="35"/>
      <c r="B878" s="35"/>
      <c r="C878" s="35"/>
      <c r="D878" s="35"/>
      <c r="E878" s="35"/>
      <c r="F878" s="35"/>
    </row>
    <row r="879">
      <c r="A879" s="35"/>
      <c r="B879" s="35"/>
      <c r="C879" s="35"/>
      <c r="D879" s="35"/>
      <c r="E879" s="35"/>
      <c r="F879" s="35"/>
    </row>
    <row r="880">
      <c r="A880" s="35"/>
      <c r="B880" s="35"/>
      <c r="C880" s="35"/>
      <c r="D880" s="35"/>
      <c r="E880" s="35"/>
      <c r="F880" s="35"/>
    </row>
    <row r="881">
      <c r="A881" s="35"/>
      <c r="B881" s="35"/>
      <c r="C881" s="35"/>
      <c r="D881" s="35"/>
      <c r="E881" s="35"/>
      <c r="F881" s="35"/>
    </row>
    <row r="882">
      <c r="A882" s="35"/>
      <c r="B882" s="35"/>
      <c r="C882" s="35"/>
      <c r="D882" s="35"/>
      <c r="E882" s="35"/>
      <c r="F882" s="35"/>
    </row>
    <row r="883">
      <c r="A883" s="35"/>
      <c r="B883" s="35"/>
      <c r="C883" s="35"/>
      <c r="D883" s="35"/>
      <c r="E883" s="35"/>
      <c r="F883" s="35"/>
    </row>
    <row r="884">
      <c r="A884" s="35"/>
      <c r="B884" s="35"/>
      <c r="C884" s="35"/>
      <c r="D884" s="35"/>
      <c r="E884" s="35"/>
      <c r="F884" s="35"/>
    </row>
    <row r="885">
      <c r="A885" s="35"/>
      <c r="B885" s="35"/>
      <c r="C885" s="35"/>
      <c r="D885" s="35"/>
      <c r="E885" s="35"/>
      <c r="F885" s="35"/>
    </row>
    <row r="886">
      <c r="A886" s="35"/>
      <c r="B886" s="35"/>
      <c r="C886" s="35"/>
      <c r="D886" s="35"/>
      <c r="E886" s="35"/>
      <c r="F886" s="35"/>
    </row>
    <row r="887">
      <c r="A887" s="35"/>
      <c r="B887" s="35"/>
      <c r="C887" s="35"/>
      <c r="D887" s="35"/>
      <c r="E887" s="35"/>
      <c r="F887" s="35"/>
    </row>
    <row r="888">
      <c r="A888" s="35"/>
      <c r="B888" s="35"/>
      <c r="C888" s="35"/>
      <c r="D888" s="35"/>
      <c r="E888" s="35"/>
      <c r="F888" s="35"/>
    </row>
    <row r="889">
      <c r="A889" s="35"/>
      <c r="B889" s="35"/>
      <c r="C889" s="35"/>
      <c r="D889" s="35"/>
      <c r="E889" s="35"/>
      <c r="F889" s="35"/>
    </row>
    <row r="890">
      <c r="A890" s="35"/>
      <c r="B890" s="35"/>
      <c r="C890" s="35"/>
      <c r="D890" s="35"/>
      <c r="E890" s="35"/>
      <c r="F890" s="35"/>
    </row>
    <row r="891">
      <c r="A891" s="35"/>
      <c r="B891" s="35"/>
      <c r="C891" s="35"/>
      <c r="D891" s="35"/>
      <c r="E891" s="35"/>
      <c r="F891" s="35"/>
    </row>
    <row r="892">
      <c r="A892" s="35"/>
      <c r="B892" s="35"/>
      <c r="C892" s="35"/>
      <c r="D892" s="35"/>
      <c r="E892" s="35"/>
      <c r="F892" s="35"/>
    </row>
    <row r="893">
      <c r="A893" s="35"/>
      <c r="B893" s="35"/>
      <c r="C893" s="35"/>
      <c r="D893" s="35"/>
      <c r="E893" s="35"/>
      <c r="F893" s="35"/>
    </row>
    <row r="894">
      <c r="A894" s="35"/>
      <c r="B894" s="35"/>
      <c r="C894" s="35"/>
      <c r="D894" s="35"/>
      <c r="E894" s="35"/>
      <c r="F894" s="35"/>
    </row>
    <row r="895">
      <c r="A895" s="35"/>
      <c r="B895" s="35"/>
      <c r="C895" s="35"/>
      <c r="D895" s="35"/>
      <c r="E895" s="35"/>
      <c r="F895" s="35"/>
    </row>
    <row r="896">
      <c r="A896" s="35"/>
      <c r="B896" s="35"/>
      <c r="C896" s="35"/>
      <c r="D896" s="35"/>
      <c r="E896" s="35"/>
      <c r="F896" s="35"/>
    </row>
    <row r="897">
      <c r="A897" s="35"/>
      <c r="B897" s="35"/>
      <c r="C897" s="35"/>
      <c r="D897" s="35"/>
      <c r="E897" s="35"/>
      <c r="F897" s="35"/>
    </row>
    <row r="898">
      <c r="A898" s="35"/>
      <c r="B898" s="35"/>
      <c r="C898" s="35"/>
      <c r="D898" s="35"/>
      <c r="E898" s="35"/>
      <c r="F898" s="35"/>
    </row>
    <row r="899">
      <c r="A899" s="35"/>
      <c r="B899" s="35"/>
      <c r="C899" s="35"/>
      <c r="D899" s="35"/>
      <c r="E899" s="35"/>
      <c r="F899" s="35"/>
    </row>
    <row r="900">
      <c r="A900" s="35"/>
      <c r="B900" s="35"/>
      <c r="C900" s="35"/>
      <c r="D900" s="35"/>
      <c r="E900" s="35"/>
      <c r="F900" s="35"/>
    </row>
    <row r="901">
      <c r="A901" s="35"/>
      <c r="B901" s="35"/>
      <c r="C901" s="35"/>
      <c r="D901" s="35"/>
      <c r="E901" s="35"/>
      <c r="F901" s="35"/>
    </row>
    <row r="902">
      <c r="A902" s="35"/>
      <c r="B902" s="35"/>
      <c r="C902" s="35"/>
      <c r="D902" s="35"/>
      <c r="E902" s="35"/>
      <c r="F902" s="35"/>
    </row>
    <row r="903">
      <c r="A903" s="35"/>
      <c r="B903" s="35"/>
      <c r="C903" s="35"/>
      <c r="D903" s="35"/>
      <c r="E903" s="35"/>
      <c r="F903" s="35"/>
    </row>
    <row r="904">
      <c r="A904" s="35"/>
      <c r="B904" s="35"/>
      <c r="C904" s="35"/>
      <c r="D904" s="35"/>
      <c r="E904" s="35"/>
      <c r="F904" s="35"/>
    </row>
    <row r="905">
      <c r="A905" s="35"/>
      <c r="B905" s="35"/>
      <c r="C905" s="35"/>
      <c r="D905" s="35"/>
      <c r="E905" s="35"/>
      <c r="F905" s="35"/>
    </row>
    <row r="906">
      <c r="A906" s="35"/>
      <c r="B906" s="35"/>
      <c r="C906" s="35"/>
      <c r="D906" s="35"/>
      <c r="E906" s="35"/>
      <c r="F906" s="35"/>
    </row>
    <row r="907">
      <c r="A907" s="35"/>
      <c r="B907" s="35"/>
      <c r="C907" s="35"/>
      <c r="D907" s="35"/>
      <c r="E907" s="35"/>
      <c r="F907" s="35"/>
    </row>
    <row r="908">
      <c r="A908" s="35"/>
      <c r="B908" s="35"/>
      <c r="C908" s="35"/>
      <c r="D908" s="35"/>
      <c r="E908" s="35"/>
      <c r="F908" s="35"/>
    </row>
    <row r="909">
      <c r="A909" s="35"/>
      <c r="B909" s="35"/>
      <c r="C909" s="35"/>
      <c r="D909" s="35"/>
      <c r="E909" s="35"/>
      <c r="F909" s="35"/>
    </row>
    <row r="910">
      <c r="A910" s="35"/>
      <c r="B910" s="35"/>
      <c r="C910" s="35"/>
      <c r="D910" s="35"/>
      <c r="E910" s="35"/>
      <c r="F910" s="35"/>
    </row>
    <row r="911">
      <c r="A911" s="35"/>
      <c r="B911" s="35"/>
      <c r="C911" s="35"/>
      <c r="D911" s="35"/>
      <c r="E911" s="35"/>
      <c r="F911" s="35"/>
    </row>
    <row r="912">
      <c r="A912" s="35"/>
      <c r="B912" s="35"/>
      <c r="C912" s="35"/>
      <c r="D912" s="35"/>
      <c r="E912" s="35"/>
      <c r="F912" s="35"/>
    </row>
    <row r="913">
      <c r="A913" s="35"/>
      <c r="B913" s="35"/>
      <c r="C913" s="35"/>
      <c r="D913" s="35"/>
      <c r="E913" s="35"/>
      <c r="F913" s="35"/>
    </row>
    <row r="914">
      <c r="A914" s="35"/>
      <c r="B914" s="35"/>
      <c r="C914" s="35"/>
      <c r="D914" s="35"/>
      <c r="E914" s="35"/>
      <c r="F914" s="35"/>
    </row>
    <row r="915">
      <c r="A915" s="35"/>
      <c r="B915" s="35"/>
      <c r="C915" s="35"/>
      <c r="D915" s="35"/>
      <c r="E915" s="35"/>
      <c r="F915" s="35"/>
    </row>
    <row r="916">
      <c r="A916" s="35"/>
      <c r="B916" s="35"/>
      <c r="C916" s="35"/>
      <c r="D916" s="35"/>
      <c r="E916" s="35"/>
      <c r="F916" s="35"/>
    </row>
    <row r="917">
      <c r="A917" s="35"/>
      <c r="B917" s="35"/>
      <c r="C917" s="35"/>
      <c r="D917" s="35"/>
      <c r="E917" s="35"/>
      <c r="F917" s="35"/>
    </row>
    <row r="918">
      <c r="A918" s="35"/>
      <c r="B918" s="35"/>
      <c r="C918" s="35"/>
      <c r="D918" s="35"/>
      <c r="E918" s="35"/>
      <c r="F918" s="35"/>
    </row>
    <row r="919">
      <c r="A919" s="35"/>
      <c r="B919" s="35"/>
      <c r="C919" s="35"/>
      <c r="D919" s="35"/>
      <c r="E919" s="35"/>
      <c r="F919" s="35"/>
    </row>
    <row r="920">
      <c r="A920" s="35"/>
      <c r="B920" s="35"/>
      <c r="C920" s="35"/>
      <c r="D920" s="35"/>
      <c r="E920" s="35"/>
      <c r="F920" s="35"/>
    </row>
    <row r="921">
      <c r="A921" s="35"/>
      <c r="B921" s="35"/>
      <c r="C921" s="35"/>
      <c r="D921" s="35"/>
      <c r="E921" s="35"/>
      <c r="F921" s="35"/>
    </row>
    <row r="922">
      <c r="A922" s="35"/>
      <c r="B922" s="35"/>
      <c r="C922" s="35"/>
      <c r="D922" s="35"/>
      <c r="E922" s="35"/>
      <c r="F922" s="35"/>
    </row>
    <row r="923">
      <c r="A923" s="35"/>
      <c r="B923" s="35"/>
      <c r="C923" s="35"/>
      <c r="D923" s="35"/>
      <c r="E923" s="35"/>
      <c r="F923" s="35"/>
    </row>
    <row r="924">
      <c r="A924" s="35"/>
      <c r="B924" s="35"/>
      <c r="C924" s="35"/>
      <c r="D924" s="35"/>
      <c r="E924" s="35"/>
      <c r="F924" s="35"/>
    </row>
    <row r="925">
      <c r="A925" s="35"/>
      <c r="B925" s="35"/>
      <c r="C925" s="35"/>
      <c r="D925" s="35"/>
      <c r="E925" s="35"/>
      <c r="F925" s="35"/>
    </row>
    <row r="926">
      <c r="A926" s="35"/>
      <c r="B926" s="35"/>
      <c r="C926" s="35"/>
      <c r="D926" s="35"/>
      <c r="E926" s="35"/>
      <c r="F926" s="35"/>
    </row>
    <row r="927">
      <c r="A927" s="35"/>
      <c r="B927" s="35"/>
      <c r="C927" s="35"/>
      <c r="D927" s="35"/>
      <c r="E927" s="35"/>
      <c r="F927" s="35"/>
    </row>
    <row r="928">
      <c r="A928" s="35"/>
      <c r="B928" s="35"/>
      <c r="C928" s="35"/>
      <c r="D928" s="35"/>
      <c r="E928" s="35"/>
      <c r="F928" s="35"/>
    </row>
    <row r="929">
      <c r="A929" s="35"/>
      <c r="B929" s="35"/>
      <c r="C929" s="35"/>
      <c r="D929" s="35"/>
      <c r="E929" s="35"/>
      <c r="F929" s="35"/>
    </row>
    <row r="930">
      <c r="A930" s="35"/>
      <c r="B930" s="35"/>
      <c r="C930" s="35"/>
      <c r="D930" s="35"/>
      <c r="E930" s="35"/>
      <c r="F930" s="35"/>
    </row>
    <row r="931">
      <c r="A931" s="35"/>
      <c r="B931" s="35"/>
      <c r="C931" s="35"/>
      <c r="D931" s="35"/>
      <c r="E931" s="35"/>
      <c r="F931" s="35"/>
    </row>
    <row r="932">
      <c r="A932" s="35"/>
      <c r="B932" s="35"/>
      <c r="C932" s="35"/>
      <c r="D932" s="35"/>
      <c r="E932" s="35"/>
      <c r="F932" s="35"/>
    </row>
    <row r="933">
      <c r="A933" s="35"/>
      <c r="B933" s="35"/>
      <c r="C933" s="35"/>
      <c r="D933" s="35"/>
      <c r="E933" s="35"/>
      <c r="F933" s="35"/>
    </row>
    <row r="934">
      <c r="A934" s="35"/>
      <c r="B934" s="35"/>
      <c r="C934" s="35"/>
      <c r="D934" s="35"/>
      <c r="E934" s="35"/>
      <c r="F934" s="35"/>
    </row>
    <row r="935">
      <c r="A935" s="35"/>
      <c r="B935" s="35"/>
      <c r="C935" s="35"/>
      <c r="D935" s="35"/>
      <c r="E935" s="35"/>
      <c r="F935" s="35"/>
    </row>
    <row r="936">
      <c r="A936" s="35"/>
      <c r="B936" s="35"/>
      <c r="C936" s="35"/>
      <c r="D936" s="35"/>
      <c r="E936" s="35"/>
      <c r="F936" s="35"/>
    </row>
    <row r="937">
      <c r="A937" s="35"/>
      <c r="B937" s="35"/>
      <c r="C937" s="35"/>
      <c r="D937" s="35"/>
      <c r="E937" s="35"/>
      <c r="F937" s="35"/>
    </row>
    <row r="938">
      <c r="A938" s="35"/>
      <c r="B938" s="35"/>
      <c r="C938" s="35"/>
      <c r="D938" s="35"/>
      <c r="E938" s="35"/>
      <c r="F938" s="35"/>
    </row>
    <row r="939">
      <c r="A939" s="35"/>
      <c r="B939" s="35"/>
      <c r="C939" s="35"/>
      <c r="D939" s="35"/>
      <c r="E939" s="35"/>
      <c r="F939" s="35"/>
    </row>
    <row r="940">
      <c r="A940" s="35"/>
      <c r="B940" s="35"/>
      <c r="C940" s="35"/>
      <c r="D940" s="35"/>
      <c r="E940" s="35"/>
      <c r="F940" s="35"/>
    </row>
    <row r="941">
      <c r="A941" s="35"/>
      <c r="B941" s="35"/>
      <c r="C941" s="35"/>
      <c r="D941" s="35"/>
      <c r="E941" s="35"/>
      <c r="F941" s="35"/>
    </row>
    <row r="942">
      <c r="A942" s="35"/>
      <c r="B942" s="35"/>
      <c r="C942" s="35"/>
      <c r="D942" s="35"/>
      <c r="E942" s="35"/>
      <c r="F942" s="35"/>
    </row>
    <row r="943">
      <c r="A943" s="35"/>
      <c r="B943" s="35"/>
      <c r="C943" s="35"/>
      <c r="D943" s="35"/>
      <c r="E943" s="35"/>
      <c r="F943" s="35"/>
    </row>
    <row r="944">
      <c r="A944" s="35"/>
      <c r="B944" s="35"/>
      <c r="C944" s="35"/>
      <c r="D944" s="35"/>
      <c r="E944" s="35"/>
      <c r="F944" s="35"/>
    </row>
    <row r="945">
      <c r="A945" s="35"/>
      <c r="B945" s="35"/>
      <c r="C945" s="35"/>
      <c r="D945" s="35"/>
      <c r="E945" s="35"/>
      <c r="F945" s="35"/>
    </row>
    <row r="946">
      <c r="A946" s="35"/>
      <c r="B946" s="35"/>
      <c r="C946" s="35"/>
      <c r="D946" s="35"/>
      <c r="E946" s="35"/>
      <c r="F946" s="35"/>
    </row>
    <row r="947">
      <c r="A947" s="35"/>
      <c r="B947" s="35"/>
      <c r="C947" s="35"/>
      <c r="D947" s="35"/>
      <c r="E947" s="35"/>
      <c r="F947" s="35"/>
    </row>
    <row r="948">
      <c r="A948" s="35"/>
      <c r="B948" s="35"/>
      <c r="C948" s="35"/>
      <c r="D948" s="35"/>
      <c r="E948" s="35"/>
      <c r="F948" s="35"/>
    </row>
    <row r="949">
      <c r="A949" s="35"/>
      <c r="B949" s="35"/>
      <c r="C949" s="35"/>
      <c r="D949" s="35"/>
      <c r="E949" s="35"/>
      <c r="F949" s="35"/>
    </row>
    <row r="950">
      <c r="A950" s="35"/>
      <c r="B950" s="35"/>
      <c r="C950" s="35"/>
      <c r="D950" s="35"/>
      <c r="E950" s="35"/>
      <c r="F950" s="35"/>
    </row>
    <row r="951">
      <c r="A951" s="35"/>
      <c r="B951" s="35"/>
      <c r="C951" s="35"/>
      <c r="D951" s="35"/>
      <c r="E951" s="35"/>
      <c r="F951" s="35"/>
    </row>
    <row r="952">
      <c r="A952" s="35"/>
      <c r="B952" s="35"/>
      <c r="C952" s="35"/>
      <c r="D952" s="35"/>
      <c r="E952" s="35"/>
      <c r="F952" s="35"/>
    </row>
    <row r="953">
      <c r="A953" s="35"/>
      <c r="B953" s="35"/>
      <c r="C953" s="35"/>
      <c r="D953" s="35"/>
      <c r="E953" s="35"/>
      <c r="F953" s="35"/>
    </row>
    <row r="954">
      <c r="A954" s="35"/>
      <c r="B954" s="35"/>
      <c r="C954" s="35"/>
      <c r="D954" s="35"/>
      <c r="E954" s="35"/>
      <c r="F954" s="35"/>
    </row>
    <row r="955">
      <c r="A955" s="35"/>
      <c r="B955" s="35"/>
      <c r="C955" s="35"/>
      <c r="D955" s="35"/>
      <c r="E955" s="35"/>
      <c r="F955" s="35"/>
    </row>
    <row r="956">
      <c r="A956" s="35"/>
      <c r="B956" s="35"/>
      <c r="C956" s="35"/>
      <c r="D956" s="35"/>
      <c r="E956" s="35"/>
      <c r="F956" s="35"/>
    </row>
    <row r="957">
      <c r="A957" s="35"/>
      <c r="B957" s="35"/>
      <c r="C957" s="35"/>
      <c r="D957" s="35"/>
      <c r="E957" s="35"/>
      <c r="F957" s="35"/>
    </row>
    <row r="958">
      <c r="A958" s="35"/>
      <c r="B958" s="35"/>
      <c r="C958" s="35"/>
      <c r="D958" s="35"/>
      <c r="E958" s="35"/>
      <c r="F958" s="35"/>
    </row>
    <row r="959">
      <c r="A959" s="35"/>
      <c r="B959" s="35"/>
      <c r="C959" s="35"/>
      <c r="D959" s="35"/>
      <c r="E959" s="35"/>
      <c r="F959" s="35"/>
    </row>
    <row r="960">
      <c r="A960" s="35"/>
      <c r="B960" s="35"/>
      <c r="C960" s="35"/>
      <c r="D960" s="35"/>
      <c r="E960" s="35"/>
      <c r="F960" s="35"/>
    </row>
    <row r="961">
      <c r="A961" s="35"/>
      <c r="B961" s="35"/>
      <c r="C961" s="35"/>
      <c r="D961" s="35"/>
      <c r="E961" s="35"/>
      <c r="F961" s="35"/>
    </row>
    <row r="962">
      <c r="A962" s="35"/>
      <c r="B962" s="35"/>
      <c r="C962" s="35"/>
      <c r="D962" s="35"/>
      <c r="E962" s="35"/>
      <c r="F962" s="35"/>
    </row>
    <row r="963">
      <c r="A963" s="35"/>
      <c r="B963" s="35"/>
      <c r="C963" s="35"/>
      <c r="D963" s="35"/>
      <c r="E963" s="35"/>
      <c r="F963" s="35"/>
    </row>
    <row r="964">
      <c r="A964" s="35"/>
      <c r="B964" s="35"/>
      <c r="C964" s="35"/>
      <c r="D964" s="35"/>
      <c r="E964" s="35"/>
      <c r="F964" s="35"/>
    </row>
    <row r="965">
      <c r="A965" s="35"/>
      <c r="B965" s="35"/>
      <c r="C965" s="35"/>
      <c r="D965" s="35"/>
      <c r="E965" s="35"/>
      <c r="F965" s="35"/>
    </row>
    <row r="966">
      <c r="A966" s="35"/>
      <c r="B966" s="35"/>
      <c r="C966" s="35"/>
      <c r="D966" s="35"/>
      <c r="E966" s="35"/>
      <c r="F966" s="35"/>
    </row>
    <row r="967">
      <c r="A967" s="35"/>
      <c r="B967" s="35"/>
      <c r="C967" s="35"/>
      <c r="D967" s="35"/>
      <c r="E967" s="35"/>
      <c r="F967" s="35"/>
    </row>
    <row r="968">
      <c r="A968" s="35"/>
      <c r="B968" s="35"/>
      <c r="C968" s="35"/>
      <c r="D968" s="35"/>
      <c r="E968" s="35"/>
      <c r="F968" s="35"/>
    </row>
    <row r="969">
      <c r="A969" s="35"/>
      <c r="B969" s="35"/>
      <c r="C969" s="35"/>
      <c r="D969" s="35"/>
      <c r="E969" s="35"/>
      <c r="F969" s="35"/>
    </row>
    <row r="970">
      <c r="A970" s="35"/>
      <c r="B970" s="35"/>
      <c r="C970" s="35"/>
      <c r="D970" s="35"/>
      <c r="E970" s="35"/>
      <c r="F970" s="35"/>
    </row>
    <row r="971">
      <c r="A971" s="35"/>
      <c r="B971" s="35"/>
      <c r="C971" s="35"/>
      <c r="D971" s="35"/>
      <c r="E971" s="35"/>
      <c r="F971" s="35"/>
    </row>
    <row r="972">
      <c r="A972" s="35"/>
      <c r="B972" s="35"/>
      <c r="C972" s="35"/>
      <c r="D972" s="35"/>
      <c r="E972" s="35"/>
      <c r="F972" s="35"/>
    </row>
    <row r="973">
      <c r="A973" s="35"/>
      <c r="B973" s="35"/>
      <c r="C973" s="35"/>
      <c r="D973" s="35"/>
      <c r="E973" s="35"/>
      <c r="F973" s="35"/>
    </row>
    <row r="974">
      <c r="A974" s="35"/>
      <c r="B974" s="35"/>
      <c r="C974" s="35"/>
      <c r="D974" s="35"/>
      <c r="E974" s="35"/>
      <c r="F974" s="35"/>
    </row>
    <row r="975">
      <c r="A975" s="35"/>
      <c r="B975" s="35"/>
      <c r="C975" s="35"/>
      <c r="D975" s="35"/>
      <c r="E975" s="35"/>
      <c r="F975" s="35"/>
    </row>
    <row r="976">
      <c r="A976" s="35"/>
      <c r="B976" s="35"/>
      <c r="C976" s="35"/>
      <c r="D976" s="35"/>
      <c r="E976" s="35"/>
      <c r="F976" s="35"/>
    </row>
    <row r="977">
      <c r="A977" s="35"/>
      <c r="B977" s="35"/>
      <c r="C977" s="35"/>
      <c r="D977" s="35"/>
      <c r="E977" s="35"/>
      <c r="F977" s="35"/>
    </row>
    <row r="978">
      <c r="A978" s="35"/>
      <c r="B978" s="35"/>
      <c r="C978" s="35"/>
      <c r="D978" s="35"/>
      <c r="E978" s="35"/>
      <c r="F978" s="35"/>
    </row>
    <row r="979">
      <c r="A979" s="35"/>
      <c r="B979" s="35"/>
      <c r="C979" s="35"/>
      <c r="D979" s="35"/>
      <c r="E979" s="35"/>
      <c r="F979" s="35"/>
    </row>
    <row r="980">
      <c r="A980" s="35"/>
      <c r="B980" s="35"/>
      <c r="C980" s="35"/>
      <c r="D980" s="35"/>
      <c r="E980" s="35"/>
      <c r="F980" s="35"/>
    </row>
    <row r="981">
      <c r="A981" s="35"/>
      <c r="B981" s="35"/>
      <c r="C981" s="35"/>
      <c r="D981" s="35"/>
      <c r="E981" s="35"/>
      <c r="F981" s="35"/>
    </row>
    <row r="982">
      <c r="A982" s="35"/>
      <c r="B982" s="35"/>
      <c r="C982" s="35"/>
      <c r="D982" s="35"/>
      <c r="E982" s="35"/>
      <c r="F982" s="35"/>
    </row>
    <row r="983">
      <c r="A983" s="35"/>
      <c r="B983" s="35"/>
      <c r="C983" s="35"/>
      <c r="D983" s="35"/>
      <c r="E983" s="35"/>
      <c r="F983" s="35"/>
    </row>
    <row r="984">
      <c r="A984" s="35"/>
      <c r="B984" s="35"/>
      <c r="C984" s="35"/>
      <c r="D984" s="35"/>
      <c r="E984" s="35"/>
      <c r="F984" s="35"/>
    </row>
    <row r="985">
      <c r="A985" s="35"/>
      <c r="B985" s="35"/>
      <c r="C985" s="35"/>
      <c r="D985" s="35"/>
      <c r="E985" s="35"/>
      <c r="F985" s="35"/>
    </row>
    <row r="986">
      <c r="A986" s="35"/>
      <c r="B986" s="35"/>
      <c r="C986" s="35"/>
      <c r="D986" s="35"/>
      <c r="E986" s="35"/>
      <c r="F986" s="35"/>
    </row>
    <row r="987">
      <c r="A987" s="35"/>
      <c r="B987" s="35"/>
      <c r="C987" s="35"/>
      <c r="D987" s="35"/>
      <c r="E987" s="35"/>
      <c r="F987" s="35"/>
    </row>
    <row r="988">
      <c r="A988" s="35"/>
      <c r="B988" s="35"/>
      <c r="C988" s="35"/>
      <c r="D988" s="35"/>
      <c r="E988" s="35"/>
      <c r="F988" s="35"/>
    </row>
    <row r="989">
      <c r="A989" s="35"/>
      <c r="B989" s="35"/>
      <c r="C989" s="35"/>
      <c r="D989" s="35"/>
      <c r="E989" s="35"/>
      <c r="F989" s="35"/>
    </row>
    <row r="990">
      <c r="A990" s="35"/>
      <c r="B990" s="35"/>
      <c r="C990" s="35"/>
      <c r="D990" s="35"/>
      <c r="E990" s="35"/>
      <c r="F990" s="35"/>
    </row>
    <row r="991">
      <c r="A991" s="35"/>
      <c r="B991" s="35"/>
      <c r="C991" s="35"/>
      <c r="D991" s="35"/>
      <c r="E991" s="35"/>
      <c r="F991" s="35"/>
    </row>
    <row r="992">
      <c r="A992" s="35"/>
      <c r="B992" s="35"/>
      <c r="C992" s="35"/>
      <c r="D992" s="35"/>
      <c r="E992" s="35"/>
      <c r="F992" s="35"/>
    </row>
    <row r="993">
      <c r="A993" s="35"/>
      <c r="B993" s="35"/>
      <c r="C993" s="35"/>
      <c r="D993" s="35"/>
      <c r="E993" s="35"/>
      <c r="F993" s="35"/>
    </row>
    <row r="994">
      <c r="A994" s="35"/>
      <c r="B994" s="35"/>
      <c r="C994" s="35"/>
      <c r="D994" s="35"/>
      <c r="E994" s="35"/>
      <c r="F994" s="35"/>
    </row>
    <row r="995">
      <c r="A995" s="35"/>
      <c r="B995" s="35"/>
      <c r="C995" s="35"/>
      <c r="D995" s="35"/>
      <c r="E995" s="35"/>
      <c r="F995" s="35"/>
    </row>
    <row r="996">
      <c r="A996" s="35"/>
      <c r="B996" s="35"/>
      <c r="C996" s="35"/>
      <c r="D996" s="35"/>
      <c r="E996" s="35"/>
      <c r="F996" s="35"/>
    </row>
    <row r="997">
      <c r="A997" s="35"/>
      <c r="B997" s="35"/>
      <c r="C997" s="35"/>
      <c r="D997" s="35"/>
      <c r="E997" s="35"/>
      <c r="F997" s="35"/>
    </row>
    <row r="998">
      <c r="A998" s="35"/>
      <c r="B998" s="35"/>
      <c r="C998" s="35"/>
      <c r="D998" s="35"/>
      <c r="E998" s="35"/>
      <c r="F998" s="35"/>
    </row>
    <row r="999">
      <c r="A999" s="35"/>
      <c r="B999" s="35"/>
      <c r="C999" s="35"/>
      <c r="D999" s="35"/>
      <c r="E999" s="35"/>
      <c r="F999" s="35"/>
    </row>
    <row r="1000">
      <c r="A1000" s="35"/>
      <c r="B1000" s="35"/>
      <c r="C1000" s="35"/>
      <c r="D1000" s="35"/>
      <c r="E1000" s="35"/>
      <c r="F1000" s="3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2026-01-14T18:25:55Z</dcterms:created>
  <dc:creator>Janeth Pérez</dc:creator>
</cp:coreProperties>
</file>